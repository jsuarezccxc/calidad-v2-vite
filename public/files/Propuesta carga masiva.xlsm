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Users\Usuario\Downloads\"/>
    </mc:Choice>
  </mc:AlternateContent>
  <xr:revisionPtr revIDLastSave="0" documentId="13_ncr:1_{84C2DA03-A9A2-4B8B-9559-4A7916E0AED5}" xr6:coauthVersionLast="43" xr6:coauthVersionMax="47" xr10:uidLastSave="{00000000-0000-0000-0000-000000000000}"/>
  <bookViews>
    <workbookView xWindow="-120" yWindow="-120" windowWidth="20730" windowHeight="11760" activeTab="2" xr2:uid="{34AA69E1-FB0A-486B-9CB1-79CEB162DCD0}"/>
  </bookViews>
  <sheets>
    <sheet name="Explicación del excel" sheetId="12" r:id="rId1"/>
    <sheet name="FacturaN" sheetId="9" state="hidden" r:id="rId2"/>
    <sheet name="Factura" sheetId="13" r:id="rId3"/>
    <sheet name="Datos básicos" sheetId="11" state="hidden" r:id="rId4"/>
    <sheet name="Datos productos" sheetId="15" state="hidden" r:id="rId5"/>
    <sheet name="Resumen" sheetId="14" r:id="rId6"/>
    <sheet name="Listas desplegables" sheetId="10" state="hidden" r:id="rId7"/>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76" i="13" l="1"/>
  <c r="Q78" i="13" l="1"/>
  <c r="Q77" i="13"/>
  <c r="N16" i="13"/>
  <c r="I17" i="13"/>
  <c r="N72" i="13"/>
  <c r="R72" i="13" s="1"/>
  <c r="N71" i="13"/>
  <c r="R71" i="13" s="1"/>
  <c r="N70" i="13"/>
  <c r="R70" i="13" s="1"/>
  <c r="N69" i="13"/>
  <c r="R69" i="13" s="1"/>
  <c r="N68" i="13"/>
  <c r="R68" i="13" s="1"/>
  <c r="N67" i="13"/>
  <c r="R67" i="13" s="1"/>
  <c r="N66" i="13"/>
  <c r="R66" i="13" s="1"/>
  <c r="N65" i="13"/>
  <c r="R65" i="13" s="1"/>
  <c r="N64" i="13"/>
  <c r="R64" i="13" s="1"/>
  <c r="N63" i="13"/>
  <c r="R63" i="13" s="1"/>
  <c r="N62" i="13"/>
  <c r="R62" i="13" s="1"/>
  <c r="N61" i="13"/>
  <c r="R61" i="13" s="1"/>
  <c r="N60" i="13"/>
  <c r="R60" i="13" s="1"/>
  <c r="N59" i="13"/>
  <c r="R59" i="13" s="1"/>
  <c r="N58" i="13"/>
  <c r="R58" i="13" s="1"/>
  <c r="N57" i="13"/>
  <c r="R57" i="13" s="1"/>
  <c r="N56" i="13"/>
  <c r="R56" i="13" s="1"/>
  <c r="N55" i="13"/>
  <c r="R55" i="13" s="1"/>
  <c r="N54" i="13"/>
  <c r="R54" i="13" s="1"/>
  <c r="N53" i="13"/>
  <c r="R53" i="13" s="1"/>
  <c r="N52" i="13"/>
  <c r="R52" i="13" s="1"/>
  <c r="N51" i="13"/>
  <c r="R51" i="13" s="1"/>
  <c r="N50" i="13"/>
  <c r="R50" i="13" s="1"/>
  <c r="N49" i="13"/>
  <c r="R49" i="13" s="1"/>
  <c r="N48" i="13"/>
  <c r="R48" i="13" s="1"/>
  <c r="N47" i="13"/>
  <c r="R47" i="13" s="1"/>
  <c r="N46" i="13"/>
  <c r="R46" i="13" s="1"/>
  <c r="N45" i="13"/>
  <c r="R45" i="13" s="1"/>
  <c r="N44" i="13"/>
  <c r="R44" i="13" s="1"/>
  <c r="N43" i="13"/>
  <c r="R43" i="13" s="1"/>
  <c r="N42" i="13"/>
  <c r="R42" i="13" s="1"/>
  <c r="N41" i="13"/>
  <c r="R41" i="13" s="1"/>
  <c r="N40" i="13"/>
  <c r="R40" i="13" s="1"/>
  <c r="N39" i="13"/>
  <c r="R39" i="13" s="1"/>
  <c r="N38" i="13"/>
  <c r="R38" i="13" s="1"/>
  <c r="N37" i="13"/>
  <c r="R37" i="13" s="1"/>
  <c r="N36" i="13"/>
  <c r="R36" i="13" s="1"/>
  <c r="N35" i="13"/>
  <c r="R35" i="13" s="1"/>
  <c r="N34" i="13"/>
  <c r="R34" i="13" s="1"/>
  <c r="N33" i="13"/>
  <c r="R33" i="13" s="1"/>
  <c r="N32" i="13"/>
  <c r="R32" i="13" s="1"/>
  <c r="N31" i="13"/>
  <c r="R31" i="13" s="1"/>
  <c r="N30" i="13"/>
  <c r="R30" i="13" s="1"/>
  <c r="N29" i="13"/>
  <c r="R29" i="13" s="1"/>
  <c r="N28" i="13"/>
  <c r="R28" i="13" s="1"/>
  <c r="N27" i="13"/>
  <c r="R27" i="13" s="1"/>
  <c r="N26" i="13"/>
  <c r="R26" i="13" s="1"/>
  <c r="N25" i="13"/>
  <c r="R25" i="13" s="1"/>
  <c r="N24" i="13"/>
  <c r="R24" i="13" s="1"/>
  <c r="O81" i="13" l="1"/>
  <c r="D24" i="13"/>
  <c r="D25" i="13" s="1"/>
  <c r="D26" i="13" s="1"/>
  <c r="D27" i="13" s="1"/>
  <c r="D28" i="13" s="1"/>
  <c r="D29" i="13" s="1"/>
  <c r="D30" i="13" s="1"/>
  <c r="D31" i="13" s="1"/>
  <c r="D32" i="13" s="1"/>
  <c r="D33" i="13" s="1"/>
  <c r="D34" i="13" s="1"/>
  <c r="D35" i="13" s="1"/>
  <c r="D36" i="13" s="1"/>
  <c r="D37" i="13" s="1"/>
  <c r="D38" i="13" s="1"/>
  <c r="D39" i="13" s="1"/>
  <c r="D40" i="13" s="1"/>
  <c r="D41" i="13" s="1"/>
  <c r="D42" i="13" s="1"/>
  <c r="D43" i="13" s="1"/>
  <c r="D44" i="13" s="1"/>
  <c r="D45" i="13" s="1"/>
  <c r="D46" i="13" s="1"/>
  <c r="D47" i="13" s="1"/>
  <c r="D48" i="13" s="1"/>
  <c r="D49" i="13" s="1"/>
  <c r="D50" i="13" s="1"/>
  <c r="D51" i="13" s="1"/>
  <c r="D52" i="13" s="1"/>
  <c r="D53" i="13" s="1"/>
  <c r="D54" i="13" s="1"/>
  <c r="D55" i="13" s="1"/>
  <c r="D56" i="13" s="1"/>
  <c r="D57" i="13" s="1"/>
  <c r="D58" i="13" s="1"/>
  <c r="D59" i="13" s="1"/>
  <c r="D60" i="13" s="1"/>
  <c r="D61" i="13" s="1"/>
  <c r="D62" i="13" s="1"/>
  <c r="D63" i="13" s="1"/>
  <c r="D64" i="13" s="1"/>
  <c r="D65" i="13" s="1"/>
  <c r="D66" i="13" s="1"/>
  <c r="D67" i="13" s="1"/>
  <c r="D68" i="13" s="1"/>
  <c r="D69" i="13" s="1"/>
  <c r="D70" i="13" s="1"/>
  <c r="D71" i="13" s="1"/>
  <c r="N23" i="13"/>
  <c r="R23" i="13" s="1"/>
  <c r="G22" i="13"/>
  <c r="Q52" i="9"/>
  <c r="H22" i="9"/>
  <c r="P2554" i="10"/>
  <c r="P2553" i="10"/>
  <c r="P2552" i="10"/>
  <c r="P2551" i="10"/>
  <c r="P2550" i="10"/>
  <c r="P2549" i="10"/>
  <c r="P2548" i="10"/>
  <c r="P2547" i="10"/>
  <c r="P2546" i="10"/>
  <c r="P2545" i="10"/>
  <c r="P2544" i="10"/>
  <c r="P2543" i="10"/>
  <c r="P2542" i="10"/>
  <c r="P2541" i="10"/>
  <c r="P2540" i="10"/>
  <c r="P2539" i="10"/>
  <c r="P2538" i="10"/>
  <c r="P2537" i="10"/>
  <c r="P2536" i="10"/>
  <c r="P2535" i="10"/>
  <c r="P2534" i="10"/>
  <c r="P2533" i="10"/>
  <c r="P2532" i="10"/>
  <c r="P2531" i="10"/>
  <c r="P2530" i="10"/>
  <c r="P2529" i="10"/>
  <c r="P2528" i="10"/>
  <c r="P2527" i="10"/>
  <c r="P2526" i="10"/>
  <c r="P2525" i="10"/>
  <c r="P2524" i="10"/>
  <c r="P2523" i="10"/>
  <c r="P2522" i="10"/>
  <c r="P2521" i="10"/>
  <c r="P2520" i="10"/>
  <c r="P2519" i="10"/>
  <c r="P2518" i="10"/>
  <c r="P2517" i="10"/>
  <c r="P2516" i="10"/>
  <c r="P2515" i="10"/>
  <c r="P2514" i="10"/>
  <c r="P2513" i="10"/>
  <c r="P2512" i="10"/>
  <c r="P2511" i="10"/>
  <c r="P2510" i="10"/>
  <c r="P2509" i="10"/>
  <c r="P2508" i="10"/>
  <c r="P2507" i="10"/>
  <c r="P2506" i="10"/>
  <c r="P2505" i="10"/>
  <c r="P2504" i="10"/>
  <c r="P2503" i="10"/>
  <c r="P2502" i="10"/>
  <c r="P2501" i="10"/>
  <c r="P2500" i="10"/>
  <c r="P2499" i="10"/>
  <c r="P2498" i="10"/>
  <c r="P2497" i="10"/>
  <c r="P2496" i="10"/>
  <c r="P2495" i="10"/>
  <c r="P2494" i="10"/>
  <c r="P2493" i="10"/>
  <c r="P2492" i="10"/>
  <c r="P2491" i="10"/>
  <c r="P2490" i="10"/>
  <c r="P2489" i="10"/>
  <c r="P2488" i="10"/>
  <c r="P2487" i="10"/>
  <c r="P2486" i="10"/>
  <c r="P2485" i="10"/>
  <c r="P2484" i="10"/>
  <c r="P2483" i="10"/>
  <c r="P2482" i="10"/>
  <c r="P2481" i="10"/>
  <c r="P2480" i="10"/>
  <c r="P2479" i="10"/>
  <c r="P2478" i="10"/>
  <c r="P2477" i="10"/>
  <c r="P2476" i="10"/>
  <c r="P2475" i="10"/>
  <c r="P2474" i="10"/>
  <c r="P2473" i="10"/>
  <c r="P2472" i="10"/>
  <c r="P2471" i="10"/>
  <c r="P2470" i="10"/>
  <c r="P2469" i="10"/>
  <c r="P2468" i="10"/>
  <c r="P2467" i="10"/>
  <c r="P2466" i="10"/>
  <c r="P2465" i="10"/>
  <c r="P2464" i="10"/>
  <c r="P2463" i="10"/>
  <c r="P2462" i="10"/>
  <c r="P2461" i="10"/>
  <c r="P2460" i="10"/>
  <c r="P2459" i="10"/>
  <c r="P2458" i="10"/>
  <c r="P2457" i="10"/>
  <c r="P2456" i="10"/>
  <c r="P2455" i="10"/>
  <c r="P2454" i="10"/>
  <c r="P2453" i="10"/>
  <c r="P2452" i="10"/>
  <c r="P2451" i="10"/>
  <c r="P2450" i="10"/>
  <c r="P2449" i="10"/>
  <c r="P2448" i="10"/>
  <c r="P2447" i="10"/>
  <c r="P2446" i="10"/>
  <c r="P2445" i="10"/>
  <c r="P2444" i="10"/>
  <c r="P2443" i="10"/>
  <c r="P2442" i="10"/>
  <c r="P2441" i="10"/>
  <c r="P2440" i="10"/>
  <c r="P2439" i="10"/>
  <c r="P2438" i="10"/>
  <c r="P2437" i="10"/>
  <c r="P2436" i="10"/>
  <c r="P2435" i="10"/>
  <c r="P2434" i="10"/>
  <c r="P2433" i="10"/>
  <c r="P2432" i="10"/>
  <c r="P2431" i="10"/>
  <c r="P2430" i="10"/>
  <c r="P2429" i="10"/>
  <c r="P2428" i="10"/>
  <c r="P2427" i="10"/>
  <c r="P2426" i="10"/>
  <c r="P2425" i="10"/>
  <c r="P2424" i="10"/>
  <c r="P2423" i="10"/>
  <c r="P2422" i="10"/>
  <c r="P2421" i="10"/>
  <c r="P2420" i="10"/>
  <c r="P2419" i="10"/>
  <c r="P2418" i="10"/>
  <c r="P2417" i="10"/>
  <c r="P2416" i="10"/>
  <c r="P2415" i="10"/>
  <c r="P2414" i="10"/>
  <c r="P2413" i="10"/>
  <c r="P2412" i="10"/>
  <c r="P2411" i="10"/>
  <c r="P2410" i="10"/>
  <c r="P2409" i="10"/>
  <c r="P2408" i="10"/>
  <c r="P2407" i="10"/>
  <c r="P2406" i="10"/>
  <c r="P2405" i="10"/>
  <c r="P2404" i="10"/>
  <c r="P2403" i="10"/>
  <c r="P2402" i="10"/>
  <c r="P2401" i="10"/>
  <c r="P2400" i="10"/>
  <c r="P2399" i="10"/>
  <c r="P2398" i="10"/>
  <c r="P2397" i="10"/>
  <c r="P2396" i="10"/>
  <c r="P2395" i="10"/>
  <c r="P2394" i="10"/>
  <c r="P2393" i="10"/>
  <c r="P2392" i="10"/>
  <c r="P2391" i="10"/>
  <c r="P2390" i="10"/>
  <c r="P2389" i="10"/>
  <c r="P2388" i="10"/>
  <c r="P2387" i="10"/>
  <c r="P2386" i="10"/>
  <c r="P2385" i="10"/>
  <c r="P2384" i="10"/>
  <c r="P2383" i="10"/>
  <c r="P2382" i="10"/>
  <c r="P2381" i="10"/>
  <c r="P2380" i="10"/>
  <c r="P2379" i="10"/>
  <c r="P2378" i="10"/>
  <c r="P2377" i="10"/>
  <c r="P2376" i="10"/>
  <c r="P2375" i="10"/>
  <c r="P2374" i="10"/>
  <c r="P2373" i="10"/>
  <c r="P2372" i="10"/>
  <c r="P2371" i="10"/>
  <c r="P2370" i="10"/>
  <c r="P2369" i="10"/>
  <c r="P2368" i="10"/>
  <c r="P2367" i="10"/>
  <c r="P2366" i="10"/>
  <c r="P2365" i="10"/>
  <c r="P2364" i="10"/>
  <c r="P2363" i="10"/>
  <c r="P2362" i="10"/>
  <c r="P2361" i="10"/>
  <c r="P2360" i="10"/>
  <c r="P2359" i="10"/>
  <c r="P2358" i="10"/>
  <c r="P2357" i="10"/>
  <c r="P2356" i="10"/>
  <c r="P2355" i="10"/>
  <c r="P2354" i="10"/>
  <c r="P2353" i="10"/>
  <c r="P2352" i="10"/>
  <c r="P2351" i="10"/>
  <c r="P2350" i="10"/>
  <c r="P2349" i="10"/>
  <c r="P2348" i="10"/>
  <c r="P2347" i="10"/>
  <c r="P2346" i="10"/>
  <c r="P2345" i="10"/>
  <c r="P2344" i="10"/>
  <c r="P2343" i="10"/>
  <c r="P2342" i="10"/>
  <c r="P2341" i="10"/>
  <c r="P2340" i="10"/>
  <c r="P2339" i="10"/>
  <c r="P2338" i="10"/>
  <c r="P2337" i="10"/>
  <c r="P2336" i="10"/>
  <c r="P2335" i="10"/>
  <c r="P2334" i="10"/>
  <c r="P2333" i="10"/>
  <c r="P2332" i="10"/>
  <c r="P2331" i="10"/>
  <c r="P2330" i="10"/>
  <c r="P2329" i="10"/>
  <c r="P2328" i="10"/>
  <c r="P2327" i="10"/>
  <c r="P2326" i="10"/>
  <c r="P2325" i="10"/>
  <c r="P2324" i="10"/>
  <c r="P2323" i="10"/>
  <c r="P2322" i="10"/>
  <c r="P2321" i="10"/>
  <c r="P2320" i="10"/>
  <c r="P2319" i="10"/>
  <c r="P2318" i="10"/>
  <c r="P2317" i="10"/>
  <c r="P2316" i="10"/>
  <c r="P2315" i="10"/>
  <c r="P2314" i="10"/>
  <c r="P2313" i="10"/>
  <c r="P2312" i="10"/>
  <c r="P2311" i="10"/>
  <c r="P2310" i="10"/>
  <c r="P2309" i="10"/>
  <c r="P2308" i="10"/>
  <c r="P2307" i="10"/>
  <c r="P2306" i="10"/>
  <c r="P2305" i="10"/>
  <c r="P2304" i="10"/>
  <c r="P2303" i="10"/>
  <c r="P2302" i="10"/>
  <c r="P2301" i="10"/>
  <c r="P2300" i="10"/>
  <c r="P2299" i="10"/>
  <c r="P2298" i="10"/>
  <c r="P2297" i="10"/>
  <c r="P2296" i="10"/>
  <c r="P2295" i="10"/>
  <c r="P2294" i="10"/>
  <c r="P2293" i="10"/>
  <c r="P2292" i="10"/>
  <c r="P2291" i="10"/>
  <c r="P2290" i="10"/>
  <c r="P2289" i="10"/>
  <c r="P2288" i="10"/>
  <c r="P2287" i="10"/>
  <c r="P2286" i="10"/>
  <c r="P2285" i="10"/>
  <c r="P2284" i="10"/>
  <c r="P2283" i="10"/>
  <c r="P2282" i="10"/>
  <c r="P2281" i="10"/>
  <c r="P2280" i="10"/>
  <c r="P2279" i="10"/>
  <c r="P2278" i="10"/>
  <c r="P2277" i="10"/>
  <c r="P2276" i="10"/>
  <c r="P2275" i="10"/>
  <c r="P2274" i="10"/>
  <c r="P2273" i="10"/>
  <c r="P2272" i="10"/>
  <c r="P2271" i="10"/>
  <c r="P2270" i="10"/>
  <c r="P2269" i="10"/>
  <c r="P2268" i="10"/>
  <c r="P2267" i="10"/>
  <c r="P2266" i="10"/>
  <c r="P2265" i="10"/>
  <c r="P2264" i="10"/>
  <c r="P2263" i="10"/>
  <c r="P2262" i="10"/>
  <c r="P2261" i="10"/>
  <c r="P2260" i="10"/>
  <c r="P2259" i="10"/>
  <c r="P2258" i="10"/>
  <c r="P2257" i="10"/>
  <c r="P2256" i="10"/>
  <c r="P2255" i="10"/>
  <c r="P2254" i="10"/>
  <c r="P2253" i="10"/>
  <c r="P2252" i="10"/>
  <c r="P2251" i="10"/>
  <c r="P2250" i="10"/>
  <c r="P2249" i="10"/>
  <c r="P2248" i="10"/>
  <c r="P2247" i="10"/>
  <c r="P2246" i="10"/>
  <c r="P2245" i="10"/>
  <c r="P2244" i="10"/>
  <c r="P2243" i="10"/>
  <c r="P2242" i="10"/>
  <c r="P2241" i="10"/>
  <c r="P2240" i="10"/>
  <c r="P2239" i="10"/>
  <c r="P2238" i="10"/>
  <c r="P2237" i="10"/>
  <c r="P2236" i="10"/>
  <c r="P2235" i="10"/>
  <c r="P2234" i="10"/>
  <c r="P2233" i="10"/>
  <c r="P2232" i="10"/>
  <c r="P2231" i="10"/>
  <c r="P2230" i="10"/>
  <c r="P2229" i="10"/>
  <c r="P2228" i="10"/>
  <c r="P2227" i="10"/>
  <c r="P2226" i="10"/>
  <c r="P2225" i="10"/>
  <c r="P2224" i="10"/>
  <c r="P2223" i="10"/>
  <c r="P2222" i="10"/>
  <c r="P2221" i="10"/>
  <c r="P2220" i="10"/>
  <c r="P2219" i="10"/>
  <c r="P2218" i="10"/>
  <c r="P2217" i="10"/>
  <c r="P2216" i="10"/>
  <c r="P2215" i="10"/>
  <c r="P2214" i="10"/>
  <c r="P2213" i="10"/>
  <c r="P2212" i="10"/>
  <c r="P2211" i="10"/>
  <c r="P2210" i="10"/>
  <c r="P2209" i="10"/>
  <c r="P2208" i="10"/>
  <c r="P2207" i="10"/>
  <c r="P2206" i="10"/>
  <c r="P2205" i="10"/>
  <c r="P2204" i="10"/>
  <c r="P2203" i="10"/>
  <c r="P2202" i="10"/>
  <c r="P2201" i="10"/>
  <c r="P2200" i="10"/>
  <c r="P2199" i="10"/>
  <c r="P2198" i="10"/>
  <c r="P2197" i="10"/>
  <c r="P2196" i="10"/>
  <c r="P2195" i="10"/>
  <c r="P2194" i="10"/>
  <c r="P2193" i="10"/>
  <c r="P2192" i="10"/>
  <c r="P2191" i="10"/>
  <c r="P2190" i="10"/>
  <c r="P2189" i="10"/>
  <c r="P2188" i="10"/>
  <c r="P2187" i="10"/>
  <c r="P2186" i="10"/>
  <c r="P2185" i="10"/>
  <c r="P2184" i="10"/>
  <c r="P2183" i="10"/>
  <c r="P2182" i="10"/>
  <c r="P2181" i="10"/>
  <c r="P2180" i="10"/>
  <c r="P2179" i="10"/>
  <c r="P2178" i="10"/>
  <c r="P2177" i="10"/>
  <c r="P2176" i="10"/>
  <c r="P2175" i="10"/>
  <c r="P2174" i="10"/>
  <c r="P2173" i="10"/>
  <c r="P2172" i="10"/>
  <c r="P2171" i="10"/>
  <c r="P2170" i="10"/>
  <c r="P2169" i="10"/>
  <c r="P2168" i="10"/>
  <c r="P2167" i="10"/>
  <c r="P2166" i="10"/>
  <c r="P2165" i="10"/>
  <c r="P2164" i="10"/>
  <c r="P2163" i="10"/>
  <c r="P2162" i="10"/>
  <c r="P2161" i="10"/>
  <c r="P2160" i="10"/>
  <c r="P2159" i="10"/>
  <c r="P2158" i="10"/>
  <c r="P2157" i="10"/>
  <c r="P2156" i="10"/>
  <c r="P2155" i="10"/>
  <c r="P2154" i="10"/>
  <c r="P2153" i="10"/>
  <c r="P2152" i="10"/>
  <c r="P2151" i="10"/>
  <c r="P2150" i="10"/>
  <c r="P2149" i="10"/>
  <c r="P2148" i="10"/>
  <c r="P2147" i="10"/>
  <c r="P2146" i="10"/>
  <c r="P2145" i="10"/>
  <c r="P2144" i="10"/>
  <c r="P2143" i="10"/>
  <c r="P2142" i="10"/>
  <c r="P2141" i="10"/>
  <c r="P2140" i="10"/>
  <c r="P2139" i="10"/>
  <c r="P2138" i="10"/>
  <c r="P2137" i="10"/>
  <c r="P2136" i="10"/>
  <c r="P2135" i="10"/>
  <c r="P2134" i="10"/>
  <c r="P2133" i="10"/>
  <c r="P2132" i="10"/>
  <c r="P2131" i="10"/>
  <c r="P2130" i="10"/>
  <c r="P2129" i="10"/>
  <c r="P2128" i="10"/>
  <c r="P2127" i="10"/>
  <c r="P2126" i="10"/>
  <c r="P2125" i="10"/>
  <c r="P2124" i="10"/>
  <c r="P2123" i="10"/>
  <c r="P2122" i="10"/>
  <c r="P2121" i="10"/>
  <c r="P2120" i="10"/>
  <c r="P2119" i="10"/>
  <c r="P2118" i="10"/>
  <c r="P2117" i="10"/>
  <c r="P2116" i="10"/>
  <c r="P2115" i="10"/>
  <c r="P2114" i="10"/>
  <c r="P2113" i="10"/>
  <c r="P2112" i="10"/>
  <c r="P2111" i="10"/>
  <c r="P2110" i="10"/>
  <c r="P2109" i="10"/>
  <c r="P2108" i="10"/>
  <c r="P2107" i="10"/>
  <c r="P2106" i="10"/>
  <c r="P2105" i="10"/>
  <c r="P2104" i="10"/>
  <c r="P2103" i="10"/>
  <c r="P2102" i="10"/>
  <c r="P2101" i="10"/>
  <c r="P2100" i="10"/>
  <c r="P2099" i="10"/>
  <c r="P2098" i="10"/>
  <c r="P2097" i="10"/>
  <c r="P2096" i="10"/>
  <c r="P2095" i="10"/>
  <c r="P2094" i="10"/>
  <c r="P2093" i="10"/>
  <c r="P2092" i="10"/>
  <c r="P2091" i="10"/>
  <c r="P2090" i="10"/>
  <c r="P2089" i="10"/>
  <c r="P2088" i="10"/>
  <c r="P2087" i="10"/>
  <c r="P2086" i="10"/>
  <c r="P2085" i="10"/>
  <c r="P2084" i="10"/>
  <c r="P2083" i="10"/>
  <c r="P2082" i="10"/>
  <c r="P2081" i="10"/>
  <c r="P2080" i="10"/>
  <c r="P2079" i="10"/>
  <c r="P2078" i="10"/>
  <c r="P2077" i="10"/>
  <c r="P2076" i="10"/>
  <c r="P2075" i="10"/>
  <c r="P2074" i="10"/>
  <c r="P2073" i="10"/>
  <c r="P2072" i="10"/>
  <c r="P2071" i="10"/>
  <c r="P2070" i="10"/>
  <c r="P2069" i="10"/>
  <c r="P2068" i="10"/>
  <c r="P2067" i="10"/>
  <c r="P2066" i="10"/>
  <c r="P2065" i="10"/>
  <c r="P2064" i="10"/>
  <c r="P2063" i="10"/>
  <c r="P2062" i="10"/>
  <c r="P2061" i="10"/>
  <c r="P2060" i="10"/>
  <c r="P2059" i="10"/>
  <c r="P2058" i="10"/>
  <c r="P2057" i="10"/>
  <c r="P2056" i="10"/>
  <c r="P2055" i="10"/>
  <c r="P2054" i="10"/>
  <c r="P2053" i="10"/>
  <c r="P2052" i="10"/>
  <c r="P2051" i="10"/>
  <c r="P2050" i="10"/>
  <c r="P2049" i="10"/>
  <c r="P2048" i="10"/>
  <c r="P2047" i="10"/>
  <c r="P2046" i="10"/>
  <c r="P2045" i="10"/>
  <c r="P2044" i="10"/>
  <c r="P2043" i="10"/>
  <c r="P2042" i="10"/>
  <c r="P2041" i="10"/>
  <c r="P2040" i="10"/>
  <c r="P2039" i="10"/>
  <c r="P2038" i="10"/>
  <c r="P2037" i="10"/>
  <c r="P2036" i="10"/>
  <c r="P2035" i="10"/>
  <c r="P2034" i="10"/>
  <c r="P2033" i="10"/>
  <c r="P2032" i="10"/>
  <c r="P2031" i="10"/>
  <c r="P2030" i="10"/>
  <c r="P2029" i="10"/>
  <c r="P2028" i="10"/>
  <c r="P2027" i="10"/>
  <c r="P2026" i="10"/>
  <c r="P2025" i="10"/>
  <c r="P2024" i="10"/>
  <c r="P2023" i="10"/>
  <c r="P2022" i="10"/>
  <c r="P2021" i="10"/>
  <c r="P2020" i="10"/>
  <c r="P2019" i="10"/>
  <c r="P2018" i="10"/>
  <c r="P2017" i="10"/>
  <c r="P2016" i="10"/>
  <c r="P2015" i="10"/>
  <c r="P2014" i="10"/>
  <c r="P2013" i="10"/>
  <c r="P2012" i="10"/>
  <c r="P2011" i="10"/>
  <c r="P2010" i="10"/>
  <c r="P2009" i="10"/>
  <c r="P2008" i="10"/>
  <c r="P2007" i="10"/>
  <c r="P2006" i="10"/>
  <c r="P2005" i="10"/>
  <c r="P2004" i="10"/>
  <c r="P2003" i="10"/>
  <c r="P2002" i="10"/>
  <c r="P2001" i="10"/>
  <c r="P2000" i="10"/>
  <c r="P1999" i="10"/>
  <c r="P1998" i="10"/>
  <c r="P1997" i="10"/>
  <c r="P1996" i="10"/>
  <c r="P1995" i="10"/>
  <c r="P1994" i="10"/>
  <c r="P1993" i="10"/>
  <c r="P1992" i="10"/>
  <c r="P1991" i="10"/>
  <c r="P1990" i="10"/>
  <c r="P1989" i="10"/>
  <c r="P1988" i="10"/>
  <c r="P1987" i="10"/>
  <c r="P1986" i="10"/>
  <c r="P1985" i="10"/>
  <c r="P1984" i="10"/>
  <c r="P1983" i="10"/>
  <c r="P1982" i="10"/>
  <c r="P1981" i="10"/>
  <c r="P1980" i="10"/>
  <c r="P1979" i="10"/>
  <c r="P1978" i="10"/>
  <c r="P1977" i="10"/>
  <c r="P1976" i="10"/>
  <c r="P1975" i="10"/>
  <c r="P1974" i="10"/>
  <c r="P1973" i="10"/>
  <c r="P1972" i="10"/>
  <c r="P1971" i="10"/>
  <c r="P1970" i="10"/>
  <c r="P1969" i="10"/>
  <c r="P1968" i="10"/>
  <c r="P1967" i="10"/>
  <c r="P1966" i="10"/>
  <c r="P1965" i="10"/>
  <c r="P1964" i="10"/>
  <c r="P1963" i="10"/>
  <c r="P1962" i="10"/>
  <c r="P1961" i="10"/>
  <c r="P1960" i="10"/>
  <c r="P1959" i="10"/>
  <c r="P1958" i="10"/>
  <c r="P1957" i="10"/>
  <c r="P1956" i="10"/>
  <c r="P1955" i="10"/>
  <c r="P1954" i="10"/>
  <c r="P1953" i="10"/>
  <c r="P1952" i="10"/>
  <c r="P1951" i="10"/>
  <c r="P1950" i="10"/>
  <c r="P1949" i="10"/>
  <c r="P1948" i="10"/>
  <c r="P1947" i="10"/>
  <c r="P1946" i="10"/>
  <c r="P1945" i="10"/>
  <c r="P1944" i="10"/>
  <c r="P1943" i="10"/>
  <c r="P1942" i="10"/>
  <c r="P1941" i="10"/>
  <c r="P1940" i="10"/>
  <c r="P1939" i="10"/>
  <c r="P1938" i="10"/>
  <c r="P1937" i="10"/>
  <c r="P1936" i="10"/>
  <c r="P1935" i="10"/>
  <c r="P1934" i="10"/>
  <c r="P1933" i="10"/>
  <c r="P1932" i="10"/>
  <c r="P1931" i="10"/>
  <c r="P1930" i="10"/>
  <c r="P1929" i="10"/>
  <c r="P1928" i="10"/>
  <c r="P1927" i="10"/>
  <c r="P1926" i="10"/>
  <c r="P1925" i="10"/>
  <c r="P1924" i="10"/>
  <c r="P1923" i="10"/>
  <c r="P1922" i="10"/>
  <c r="P1921" i="10"/>
  <c r="P1920" i="10"/>
  <c r="P1919" i="10"/>
  <c r="P1918" i="10"/>
  <c r="P1917" i="10"/>
  <c r="P1916" i="10"/>
  <c r="P1915" i="10"/>
  <c r="P1914" i="10"/>
  <c r="P1913" i="10"/>
  <c r="P1912" i="10"/>
  <c r="P1911" i="10"/>
  <c r="P1910" i="10"/>
  <c r="P1909" i="10"/>
  <c r="P1908" i="10"/>
  <c r="P1907" i="10"/>
  <c r="P1906" i="10"/>
  <c r="P1905" i="10"/>
  <c r="P1904" i="10"/>
  <c r="P1903" i="10"/>
  <c r="P1902" i="10"/>
  <c r="P1901" i="10"/>
  <c r="P1900" i="10"/>
  <c r="P1899" i="10"/>
  <c r="P1898" i="10"/>
  <c r="P1897" i="10"/>
  <c r="P1896" i="10"/>
  <c r="P1895" i="10"/>
  <c r="P1894" i="10"/>
  <c r="P1893" i="10"/>
  <c r="P1892" i="10"/>
  <c r="P1891" i="10"/>
  <c r="P1890" i="10"/>
  <c r="P1889" i="10"/>
  <c r="P1888" i="10"/>
  <c r="P1887" i="10"/>
  <c r="P1886" i="10"/>
  <c r="P1885" i="10"/>
  <c r="P1884" i="10"/>
  <c r="P1883" i="10"/>
  <c r="P1882" i="10"/>
  <c r="P1881" i="10"/>
  <c r="P1880" i="10"/>
  <c r="P1879" i="10"/>
  <c r="P1878" i="10"/>
  <c r="P1877" i="10"/>
  <c r="P1876" i="10"/>
  <c r="P1875" i="10"/>
  <c r="P1874" i="10"/>
  <c r="P1873" i="10"/>
  <c r="P1872" i="10"/>
  <c r="P1871" i="10"/>
  <c r="P1870" i="10"/>
  <c r="P1869" i="10"/>
  <c r="P1868" i="10"/>
  <c r="P1867" i="10"/>
  <c r="P1866" i="10"/>
  <c r="P1865" i="10"/>
  <c r="P1864" i="10"/>
  <c r="P1863" i="10"/>
  <c r="P1862" i="10"/>
  <c r="P1861" i="10"/>
  <c r="P1860" i="10"/>
  <c r="P1859" i="10"/>
  <c r="P1858" i="10"/>
  <c r="P1857" i="10"/>
  <c r="P1856" i="10"/>
  <c r="P1855" i="10"/>
  <c r="P1854" i="10"/>
  <c r="P1853" i="10"/>
  <c r="P1852" i="10"/>
  <c r="P1851" i="10"/>
  <c r="P1850" i="10"/>
  <c r="P1849" i="10"/>
  <c r="P1848" i="10"/>
  <c r="P1847" i="10"/>
  <c r="P1846" i="10"/>
  <c r="P1845" i="10"/>
  <c r="P1844" i="10"/>
  <c r="P1843" i="10"/>
  <c r="P1842" i="10"/>
  <c r="P1841" i="10"/>
  <c r="P1840" i="10"/>
  <c r="P1839" i="10"/>
  <c r="P1838" i="10"/>
  <c r="P1837" i="10"/>
  <c r="P1836" i="10"/>
  <c r="P1835" i="10"/>
  <c r="P1834" i="10"/>
  <c r="P1833" i="10"/>
  <c r="P1832" i="10"/>
  <c r="P1831" i="10"/>
  <c r="P1830" i="10"/>
  <c r="P1829" i="10"/>
  <c r="P1828" i="10"/>
  <c r="P1827" i="10"/>
  <c r="P1826" i="10"/>
  <c r="P1825" i="10"/>
  <c r="P1824" i="10"/>
  <c r="P1823" i="10"/>
  <c r="P1822" i="10"/>
  <c r="P1821" i="10"/>
  <c r="P1820" i="10"/>
  <c r="P1819" i="10"/>
  <c r="P1818" i="10"/>
  <c r="P1817" i="10"/>
  <c r="P1816" i="10"/>
  <c r="P1815" i="10"/>
  <c r="P1814" i="10"/>
  <c r="P1813" i="10"/>
  <c r="P1812" i="10"/>
  <c r="P1811" i="10"/>
  <c r="P1810" i="10"/>
  <c r="P1809" i="10"/>
  <c r="P1808" i="10"/>
  <c r="P1807" i="10"/>
  <c r="P1806" i="10"/>
  <c r="P1805" i="10"/>
  <c r="P1804" i="10"/>
  <c r="P1803" i="10"/>
  <c r="P1802" i="10"/>
  <c r="P1801" i="10"/>
  <c r="P1800" i="10"/>
  <c r="P1799" i="10"/>
  <c r="P1798" i="10"/>
  <c r="P1797" i="10"/>
  <c r="P1796" i="10"/>
  <c r="P1795" i="10"/>
  <c r="P1794" i="10"/>
  <c r="P1793" i="10"/>
  <c r="P1792" i="10"/>
  <c r="P1791" i="10"/>
  <c r="P1790" i="10"/>
  <c r="P1789" i="10"/>
  <c r="P1788" i="10"/>
  <c r="P1787" i="10"/>
  <c r="P1786" i="10"/>
  <c r="P1785" i="10"/>
  <c r="P1784" i="10"/>
  <c r="P1783" i="10"/>
  <c r="P1782" i="10"/>
  <c r="P1781" i="10"/>
  <c r="P1780" i="10"/>
  <c r="P1779" i="10"/>
  <c r="P1778" i="10"/>
  <c r="P1777" i="10"/>
  <c r="P1776" i="10"/>
  <c r="P1775" i="10"/>
  <c r="P1774" i="10"/>
  <c r="P1773" i="10"/>
  <c r="P1772" i="10"/>
  <c r="P1771" i="10"/>
  <c r="P1770" i="10"/>
  <c r="P1769" i="10"/>
  <c r="P1768" i="10"/>
  <c r="P1767" i="10"/>
  <c r="P1766" i="10"/>
  <c r="P1765" i="10"/>
  <c r="P1764" i="10"/>
  <c r="P1763" i="10"/>
  <c r="P1762" i="10"/>
  <c r="P1761" i="10"/>
  <c r="P1760" i="10"/>
  <c r="P1759" i="10"/>
  <c r="P1758" i="10"/>
  <c r="P1757" i="10"/>
  <c r="P1756" i="10"/>
  <c r="P1755" i="10"/>
  <c r="P1754" i="10"/>
  <c r="P1753" i="10"/>
  <c r="P1752" i="10"/>
  <c r="P1751" i="10"/>
  <c r="P1750" i="10"/>
  <c r="P1749" i="10"/>
  <c r="P1748" i="10"/>
  <c r="P1747" i="10"/>
  <c r="P1746" i="10"/>
  <c r="P1745" i="10"/>
  <c r="P1744" i="10"/>
  <c r="P1743" i="10"/>
  <c r="P1742" i="10"/>
  <c r="P1741" i="10"/>
  <c r="P1740" i="10"/>
  <c r="P1739" i="10"/>
  <c r="P1738" i="10"/>
  <c r="P1737" i="10"/>
  <c r="P1736" i="10"/>
  <c r="P1735" i="10"/>
  <c r="P1734" i="10"/>
  <c r="P1733" i="10"/>
  <c r="P1732" i="10"/>
  <c r="P1731" i="10"/>
  <c r="P1730" i="10"/>
  <c r="P1729" i="10"/>
  <c r="P1728" i="10"/>
  <c r="P1727" i="10"/>
  <c r="P1726" i="10"/>
  <c r="P1725" i="10"/>
  <c r="P1724" i="10"/>
  <c r="P1723" i="10"/>
  <c r="P1722" i="10"/>
  <c r="P1721" i="10"/>
  <c r="P1720" i="10"/>
  <c r="P1719" i="10"/>
  <c r="P1718" i="10"/>
  <c r="P1717" i="10"/>
  <c r="P1716" i="10"/>
  <c r="P1715" i="10"/>
  <c r="P1714" i="10"/>
  <c r="P1713" i="10"/>
  <c r="P1712" i="10"/>
  <c r="P1711" i="10"/>
  <c r="P1710" i="10"/>
  <c r="P1709" i="10"/>
  <c r="P1708" i="10"/>
  <c r="P1707" i="10"/>
  <c r="P1706" i="10"/>
  <c r="P1705" i="10"/>
  <c r="P1704" i="10"/>
  <c r="P1703" i="10"/>
  <c r="P1702" i="10"/>
  <c r="P1701" i="10"/>
  <c r="P1700" i="10"/>
  <c r="P1699" i="10"/>
  <c r="P1698" i="10"/>
  <c r="P1697" i="10"/>
  <c r="P1696" i="10"/>
  <c r="P1695" i="10"/>
  <c r="P1694" i="10"/>
  <c r="P1693" i="10"/>
  <c r="P1692" i="10"/>
  <c r="P1691" i="10"/>
  <c r="P1690" i="10"/>
  <c r="P1689" i="10"/>
  <c r="P1688" i="10"/>
  <c r="P1687" i="10"/>
  <c r="P1686" i="10"/>
  <c r="P1685" i="10"/>
  <c r="P1684" i="10"/>
  <c r="P1683" i="10"/>
  <c r="P1682" i="10"/>
  <c r="P1681" i="10"/>
  <c r="P1680" i="10"/>
  <c r="P1679" i="10"/>
  <c r="P1678" i="10"/>
  <c r="P1677" i="10"/>
  <c r="P1676" i="10"/>
  <c r="P1675" i="10"/>
  <c r="P1674" i="10"/>
  <c r="P1673" i="10"/>
  <c r="P1672" i="10"/>
  <c r="P1671" i="10"/>
  <c r="P1670" i="10"/>
  <c r="P1669" i="10"/>
  <c r="P1668" i="10"/>
  <c r="P1667" i="10"/>
  <c r="P1666" i="10"/>
  <c r="P1665" i="10"/>
  <c r="P1664" i="10"/>
  <c r="P1663" i="10"/>
  <c r="P1662" i="10"/>
  <c r="P1661" i="10"/>
  <c r="P1660" i="10"/>
  <c r="P1659" i="10"/>
  <c r="P1658" i="10"/>
  <c r="P1657" i="10"/>
  <c r="P1656" i="10"/>
  <c r="P1655" i="10"/>
  <c r="P1654" i="10"/>
  <c r="P1653" i="10"/>
  <c r="P1652" i="10"/>
  <c r="P1651" i="10"/>
  <c r="P1650" i="10"/>
  <c r="P1649" i="10"/>
  <c r="P1648" i="10"/>
  <c r="P1647" i="10"/>
  <c r="P1646" i="10"/>
  <c r="P1645" i="10"/>
  <c r="P1644" i="10"/>
  <c r="P1643" i="10"/>
  <c r="P1642" i="10"/>
  <c r="P1641" i="10"/>
  <c r="P1640" i="10"/>
  <c r="P1639" i="10"/>
  <c r="P1638" i="10"/>
  <c r="P1637" i="10"/>
  <c r="P1636" i="10"/>
  <c r="P1635" i="10"/>
  <c r="P1634" i="10"/>
  <c r="P1633" i="10"/>
  <c r="P1632" i="10"/>
  <c r="P1631" i="10"/>
  <c r="P1630" i="10"/>
  <c r="P1629" i="10"/>
  <c r="P1628" i="10"/>
  <c r="P1627" i="10"/>
  <c r="P1626" i="10"/>
  <c r="P1625" i="10"/>
  <c r="P1624" i="10"/>
  <c r="P1623" i="10"/>
  <c r="P1622" i="10"/>
  <c r="P1621" i="10"/>
  <c r="P1620" i="10"/>
  <c r="P1619" i="10"/>
  <c r="P1618" i="10"/>
  <c r="P1617" i="10"/>
  <c r="P1616" i="10"/>
  <c r="P1615" i="10"/>
  <c r="P1614" i="10"/>
  <c r="P1613" i="10"/>
  <c r="P1612" i="10"/>
  <c r="P1611" i="10"/>
  <c r="P1610" i="10"/>
  <c r="P1609" i="10"/>
  <c r="P1608" i="10"/>
  <c r="P1607" i="10"/>
  <c r="P1606" i="10"/>
  <c r="P1605" i="10"/>
  <c r="P1604" i="10"/>
  <c r="P1603" i="10"/>
  <c r="P1602" i="10"/>
  <c r="P1601" i="10"/>
  <c r="P1600" i="10"/>
  <c r="P1599" i="10"/>
  <c r="P1598" i="10"/>
  <c r="P1597" i="10"/>
  <c r="P1596" i="10"/>
  <c r="P1595" i="10"/>
  <c r="P1594" i="10"/>
  <c r="P1593" i="10"/>
  <c r="P1592" i="10"/>
  <c r="P1591" i="10"/>
  <c r="P1590" i="10"/>
  <c r="P1589" i="10"/>
  <c r="P1588" i="10"/>
  <c r="P1587" i="10"/>
  <c r="P1586" i="10"/>
  <c r="P1585" i="10"/>
  <c r="P1584" i="10"/>
  <c r="P1583" i="10"/>
  <c r="P1582" i="10"/>
  <c r="P1581" i="10"/>
  <c r="P1580" i="10"/>
  <c r="P1579" i="10"/>
  <c r="P1578" i="10"/>
  <c r="P1577" i="10"/>
  <c r="P1576" i="10"/>
  <c r="P1575" i="10"/>
  <c r="P1574" i="10"/>
  <c r="P1573" i="10"/>
  <c r="P1572" i="10"/>
  <c r="P1571" i="10"/>
  <c r="P1570" i="10"/>
  <c r="P1569" i="10"/>
  <c r="P1568" i="10"/>
  <c r="P1567" i="10"/>
  <c r="P1566" i="10"/>
  <c r="P1565" i="10"/>
  <c r="P1564" i="10"/>
  <c r="P1563" i="10"/>
  <c r="P1562" i="10"/>
  <c r="P1561" i="10"/>
  <c r="P1560" i="10"/>
  <c r="P1559" i="10"/>
  <c r="P1558" i="10"/>
  <c r="P1557" i="10"/>
  <c r="P1556" i="10"/>
  <c r="P1555" i="10"/>
  <c r="P1554" i="10"/>
  <c r="P1553" i="10"/>
  <c r="P1552" i="10"/>
  <c r="P1551" i="10"/>
  <c r="P1550" i="10"/>
  <c r="P1549" i="10"/>
  <c r="P1548" i="10"/>
  <c r="P1547" i="10"/>
  <c r="P1546" i="10"/>
  <c r="P1545" i="10"/>
  <c r="P1544" i="10"/>
  <c r="P1543" i="10"/>
  <c r="P1542" i="10"/>
  <c r="P1541" i="10"/>
  <c r="P1540" i="10"/>
  <c r="P1539" i="10"/>
  <c r="P1538" i="10"/>
  <c r="P1537" i="10"/>
  <c r="P1536" i="10"/>
  <c r="P1535" i="10"/>
  <c r="P1534" i="10"/>
  <c r="P1533" i="10"/>
  <c r="P1532" i="10"/>
  <c r="P1531" i="10"/>
  <c r="P1530" i="10"/>
  <c r="P1529" i="10"/>
  <c r="P1528" i="10"/>
  <c r="P1527" i="10"/>
  <c r="P1526" i="10"/>
  <c r="P1525" i="10"/>
  <c r="P1524" i="10"/>
  <c r="P1523" i="10"/>
  <c r="P1522" i="10"/>
  <c r="P1521" i="10"/>
  <c r="P1520" i="10"/>
  <c r="P1519" i="10"/>
  <c r="P1518" i="10"/>
  <c r="P1517" i="10"/>
  <c r="P1516" i="10"/>
  <c r="P1515" i="10"/>
  <c r="P1514" i="10"/>
  <c r="P1513" i="10"/>
  <c r="P1512" i="10"/>
  <c r="P1511" i="10"/>
  <c r="P1510" i="10"/>
  <c r="P1509" i="10"/>
  <c r="P1508" i="10"/>
  <c r="P1507" i="10"/>
  <c r="P1506" i="10"/>
  <c r="P1505" i="10"/>
  <c r="P1504" i="10"/>
  <c r="P1503" i="10"/>
  <c r="P1502" i="10"/>
  <c r="P1501" i="10"/>
  <c r="P1500" i="10"/>
  <c r="P1499" i="10"/>
  <c r="P1498" i="10"/>
  <c r="P1497" i="10"/>
  <c r="P1496" i="10"/>
  <c r="P1495" i="10"/>
  <c r="P1494" i="10"/>
  <c r="P1493" i="10"/>
  <c r="P1492" i="10"/>
  <c r="P1491" i="10"/>
  <c r="P1490" i="10"/>
  <c r="P1489" i="10"/>
  <c r="P1488" i="10"/>
  <c r="P1487" i="10"/>
  <c r="P1486" i="10"/>
  <c r="P1485" i="10"/>
  <c r="P1484" i="10"/>
  <c r="P1483" i="10"/>
  <c r="P1482" i="10"/>
  <c r="P1481" i="10"/>
  <c r="P1480" i="10"/>
  <c r="P1479" i="10"/>
  <c r="P1478" i="10"/>
  <c r="P1477" i="10"/>
  <c r="P1476" i="10"/>
  <c r="P1475" i="10"/>
  <c r="P1474" i="10"/>
  <c r="P1473" i="10"/>
  <c r="P1472" i="10"/>
  <c r="P1471" i="10"/>
  <c r="P1470" i="10"/>
  <c r="P1469" i="10"/>
  <c r="P1468" i="10"/>
  <c r="P1467" i="10"/>
  <c r="P1466" i="10"/>
  <c r="P1465" i="10"/>
  <c r="P1464" i="10"/>
  <c r="P1463" i="10"/>
  <c r="P1462" i="10"/>
  <c r="P1461" i="10"/>
  <c r="P1460" i="10"/>
  <c r="P1459" i="10"/>
  <c r="P1458" i="10"/>
  <c r="P1457" i="10"/>
  <c r="P1456" i="10"/>
  <c r="P1455" i="10"/>
  <c r="P1454" i="10"/>
  <c r="P1453" i="10"/>
  <c r="P1452" i="10"/>
  <c r="P1451" i="10"/>
  <c r="P1450" i="10"/>
  <c r="P1449" i="10"/>
  <c r="P1448" i="10"/>
  <c r="P1447" i="10"/>
  <c r="P1446" i="10"/>
  <c r="P1445" i="10"/>
  <c r="P1444" i="10"/>
  <c r="P1443" i="10"/>
  <c r="P1442" i="10"/>
  <c r="P1441" i="10"/>
  <c r="P1440" i="10"/>
  <c r="P1439" i="10"/>
  <c r="P1438" i="10"/>
  <c r="P1437" i="10"/>
  <c r="P1436" i="10"/>
  <c r="P1435" i="10"/>
  <c r="P1434" i="10"/>
  <c r="P1433" i="10"/>
  <c r="P1432" i="10"/>
  <c r="P1431" i="10"/>
  <c r="P1430" i="10"/>
  <c r="P1429" i="10"/>
  <c r="P1428" i="10"/>
  <c r="P1427" i="10"/>
  <c r="P1426" i="10"/>
  <c r="P1425" i="10"/>
  <c r="P1424" i="10"/>
  <c r="P1423" i="10"/>
  <c r="P1422" i="10"/>
  <c r="P1421" i="10"/>
  <c r="P1420" i="10"/>
  <c r="P1419" i="10"/>
  <c r="P1418" i="10"/>
  <c r="P1417" i="10"/>
  <c r="P1416" i="10"/>
  <c r="P1415" i="10"/>
  <c r="P1414" i="10"/>
  <c r="P1413" i="10"/>
  <c r="P1412" i="10"/>
  <c r="P1411" i="10"/>
  <c r="P1410" i="10"/>
  <c r="P1409" i="10"/>
  <c r="P1408" i="10"/>
  <c r="P1407" i="10"/>
  <c r="P1406" i="10"/>
  <c r="P1405" i="10"/>
  <c r="P1404" i="10"/>
  <c r="P1403" i="10"/>
  <c r="P1402" i="10"/>
  <c r="P1401" i="10"/>
  <c r="P1400" i="10"/>
  <c r="P1399" i="10"/>
  <c r="P1398" i="10"/>
  <c r="P1397" i="10"/>
  <c r="P1396" i="10"/>
  <c r="P1395" i="10"/>
  <c r="P1394" i="10"/>
  <c r="P1393" i="10"/>
  <c r="P1392" i="10"/>
  <c r="P1391" i="10"/>
  <c r="P1390" i="10"/>
  <c r="P1389" i="10"/>
  <c r="P1388" i="10"/>
  <c r="P1387" i="10"/>
  <c r="P1386" i="10"/>
  <c r="P1385" i="10"/>
  <c r="P1384" i="10"/>
  <c r="P1383" i="10"/>
  <c r="P1382" i="10"/>
  <c r="P1381" i="10"/>
  <c r="P1380" i="10"/>
  <c r="P1379" i="10"/>
  <c r="P1378" i="10"/>
  <c r="P1377" i="10"/>
  <c r="P1376" i="10"/>
  <c r="P1375" i="10"/>
  <c r="P1374" i="10"/>
  <c r="P1373" i="10"/>
  <c r="P1372" i="10"/>
  <c r="P1371" i="10"/>
  <c r="P1370" i="10"/>
  <c r="P1369" i="10"/>
  <c r="P1368" i="10"/>
  <c r="P1367" i="10"/>
  <c r="P1366" i="10"/>
  <c r="P1365" i="10"/>
  <c r="P1364" i="10"/>
  <c r="P1363" i="10"/>
  <c r="P1362" i="10"/>
  <c r="P1361" i="10"/>
  <c r="P1360" i="10"/>
  <c r="P1359" i="10"/>
  <c r="P1358" i="10"/>
  <c r="P1357" i="10"/>
  <c r="P1356" i="10"/>
  <c r="P1355" i="10"/>
  <c r="P1354" i="10"/>
  <c r="P1353" i="10"/>
  <c r="P1352" i="10"/>
  <c r="P1351" i="10"/>
  <c r="P1350" i="10"/>
  <c r="P1349" i="10"/>
  <c r="P1348" i="10"/>
  <c r="P1347" i="10"/>
  <c r="P1346" i="10"/>
  <c r="P1345" i="10"/>
  <c r="P1344" i="10"/>
  <c r="P1343" i="10"/>
  <c r="P1342" i="10"/>
  <c r="P1341" i="10"/>
  <c r="P1340" i="10"/>
  <c r="P1339" i="10"/>
  <c r="P1338" i="10"/>
  <c r="P1337" i="10"/>
  <c r="P1336" i="10"/>
  <c r="P1335" i="10"/>
  <c r="P1334" i="10"/>
  <c r="P1333" i="10"/>
  <c r="P1332" i="10"/>
  <c r="P1331" i="10"/>
  <c r="P1330" i="10"/>
  <c r="P1329" i="10"/>
  <c r="P1328" i="10"/>
  <c r="P1327" i="10"/>
  <c r="P1326" i="10"/>
  <c r="P1325" i="10"/>
  <c r="P1324" i="10"/>
  <c r="P1323" i="10"/>
  <c r="P1322" i="10"/>
  <c r="P1321" i="10"/>
  <c r="P1320" i="10"/>
  <c r="P1319" i="10"/>
  <c r="P1318" i="10"/>
  <c r="P1317" i="10"/>
  <c r="P1316" i="10"/>
  <c r="P1315" i="10"/>
  <c r="P1314" i="10"/>
  <c r="P1313" i="10"/>
  <c r="P1312" i="10"/>
  <c r="P1311" i="10"/>
  <c r="P1310" i="10"/>
  <c r="P1309" i="10"/>
  <c r="P1308" i="10"/>
  <c r="P1307" i="10"/>
  <c r="P1306" i="10"/>
  <c r="P1305" i="10"/>
  <c r="P1304" i="10"/>
  <c r="P1303" i="10"/>
  <c r="P1302" i="10"/>
  <c r="P1301" i="10"/>
  <c r="P1300" i="10"/>
  <c r="P1299" i="10"/>
  <c r="P1298" i="10"/>
  <c r="P1297" i="10"/>
  <c r="P1296" i="10"/>
  <c r="P1295" i="10"/>
  <c r="P1294" i="10"/>
  <c r="P1293" i="10"/>
  <c r="P1292" i="10"/>
  <c r="P1291" i="10"/>
  <c r="P1290" i="10"/>
  <c r="P1289" i="10"/>
  <c r="P1288" i="10"/>
  <c r="P1287" i="10"/>
  <c r="P1286" i="10"/>
  <c r="P1285" i="10"/>
  <c r="P1284" i="10"/>
  <c r="P1283" i="10"/>
  <c r="P1282" i="10"/>
  <c r="P1281" i="10"/>
  <c r="P1280" i="10"/>
  <c r="P1279" i="10"/>
  <c r="P1278" i="10"/>
  <c r="P1277" i="10"/>
  <c r="P1276" i="10"/>
  <c r="P1275" i="10"/>
  <c r="P1274" i="10"/>
  <c r="P1273" i="10"/>
  <c r="P1272" i="10"/>
  <c r="P1271" i="10"/>
  <c r="P1270" i="10"/>
  <c r="P1269" i="10"/>
  <c r="P1268" i="10"/>
  <c r="P1267" i="10"/>
  <c r="P1266" i="10"/>
  <c r="P1265" i="10"/>
  <c r="P1264" i="10"/>
  <c r="P1263" i="10"/>
  <c r="P1262" i="10"/>
  <c r="P1261" i="10"/>
  <c r="P1260" i="10"/>
  <c r="P1259" i="10"/>
  <c r="P1258" i="10"/>
  <c r="P1257" i="10"/>
  <c r="P1256" i="10"/>
  <c r="P1255" i="10"/>
  <c r="P1254" i="10"/>
  <c r="P1253" i="10"/>
  <c r="P1252" i="10"/>
  <c r="P1251" i="10"/>
  <c r="P1250" i="10"/>
  <c r="P1249" i="10"/>
  <c r="P1248" i="10"/>
  <c r="P1247" i="10"/>
  <c r="P1246" i="10"/>
  <c r="P1245" i="10"/>
  <c r="P1244" i="10"/>
  <c r="P1243" i="10"/>
  <c r="P1242" i="10"/>
  <c r="P1241" i="10"/>
  <c r="P1240" i="10"/>
  <c r="P1239" i="10"/>
  <c r="P1238" i="10"/>
  <c r="P1237" i="10"/>
  <c r="P1236" i="10"/>
  <c r="P1235" i="10"/>
  <c r="P1234" i="10"/>
  <c r="P1233" i="10"/>
  <c r="P1232" i="10"/>
  <c r="P1231" i="10"/>
  <c r="P1230" i="10"/>
  <c r="P1229" i="10"/>
  <c r="P1228" i="10"/>
  <c r="P1227" i="10"/>
  <c r="P1226" i="10"/>
  <c r="P1225" i="10"/>
  <c r="P1224" i="10"/>
  <c r="P1223" i="10"/>
  <c r="P1222" i="10"/>
  <c r="P1221" i="10"/>
  <c r="P1220" i="10"/>
  <c r="P1219" i="10"/>
  <c r="P1218" i="10"/>
  <c r="P1217" i="10"/>
  <c r="P1216" i="10"/>
  <c r="P1215" i="10"/>
  <c r="P1214" i="10"/>
  <c r="P1213" i="10"/>
  <c r="P1212" i="10"/>
  <c r="P1211" i="10"/>
  <c r="P1210" i="10"/>
  <c r="P1209" i="10"/>
  <c r="P1208" i="10"/>
  <c r="P1207" i="10"/>
  <c r="P1206" i="10"/>
  <c r="P1205" i="10"/>
  <c r="P1204" i="10"/>
  <c r="P1203" i="10"/>
  <c r="P1202" i="10"/>
  <c r="P1201" i="10"/>
  <c r="P1200" i="10"/>
  <c r="P1199" i="10"/>
  <c r="P1198" i="10"/>
  <c r="P1197" i="10"/>
  <c r="P1196" i="10"/>
  <c r="P1195" i="10"/>
  <c r="P1194" i="10"/>
  <c r="P1193" i="10"/>
  <c r="P1192" i="10"/>
  <c r="P1191" i="10"/>
  <c r="P1190" i="10"/>
  <c r="P1189" i="10"/>
  <c r="P1188" i="10"/>
  <c r="P1187" i="10"/>
  <c r="P1186" i="10"/>
  <c r="P1185" i="10"/>
  <c r="P1184" i="10"/>
  <c r="P1183" i="10"/>
  <c r="P1182" i="10"/>
  <c r="P1181" i="10"/>
  <c r="P1180" i="10"/>
  <c r="P1179" i="10"/>
  <c r="P1178" i="10"/>
  <c r="P1177" i="10"/>
  <c r="P1176" i="10"/>
  <c r="P1175" i="10"/>
  <c r="P1174" i="10"/>
  <c r="P1173" i="10"/>
  <c r="P1172" i="10"/>
  <c r="P1171" i="10"/>
  <c r="P1170" i="10"/>
  <c r="P1169" i="10"/>
  <c r="P1168" i="10"/>
  <c r="P1167" i="10"/>
  <c r="P1166" i="10"/>
  <c r="P1165" i="10"/>
  <c r="P1164" i="10"/>
  <c r="P1163" i="10"/>
  <c r="P1162" i="10"/>
  <c r="P1161" i="10"/>
  <c r="P1160" i="10"/>
  <c r="P1159" i="10"/>
  <c r="P1158" i="10"/>
  <c r="P1157" i="10"/>
  <c r="P1156" i="10"/>
  <c r="P1155" i="10"/>
  <c r="P1154" i="10"/>
  <c r="P1153" i="10"/>
  <c r="P1152" i="10"/>
  <c r="P1151" i="10"/>
  <c r="P1150" i="10"/>
  <c r="P1149" i="10"/>
  <c r="P1148" i="10"/>
  <c r="P1147" i="10"/>
  <c r="P1146" i="10"/>
  <c r="P1145" i="10"/>
  <c r="P1144" i="10"/>
  <c r="P1143" i="10"/>
  <c r="P1142" i="10"/>
  <c r="P1141" i="10"/>
  <c r="P1140" i="10"/>
  <c r="P1139" i="10"/>
  <c r="P1138" i="10"/>
  <c r="P1137" i="10"/>
  <c r="P1136" i="10"/>
  <c r="P1135" i="10"/>
  <c r="P1134" i="10"/>
  <c r="P1133" i="10"/>
  <c r="P1132" i="10"/>
  <c r="P1131" i="10"/>
  <c r="P1130" i="10"/>
  <c r="P1129" i="10"/>
  <c r="P1128" i="10"/>
  <c r="P1127" i="10"/>
  <c r="P1126" i="10"/>
  <c r="P1125" i="10"/>
  <c r="P1124" i="10"/>
  <c r="P1123" i="10"/>
  <c r="P1122" i="10"/>
  <c r="P1121" i="10"/>
  <c r="P1120" i="10"/>
  <c r="P1119" i="10"/>
  <c r="P1118" i="10"/>
  <c r="P1117" i="10"/>
  <c r="P1116" i="10"/>
  <c r="P1115" i="10"/>
  <c r="P1114" i="10"/>
  <c r="P1113" i="10"/>
  <c r="P1112" i="10"/>
  <c r="P1111" i="10"/>
  <c r="P1110" i="10"/>
  <c r="P1109" i="10"/>
  <c r="P1108" i="10"/>
  <c r="P1107" i="10"/>
  <c r="P1106" i="10"/>
  <c r="P1105" i="10"/>
  <c r="P1104" i="10"/>
  <c r="P1103" i="10"/>
  <c r="P1102" i="10"/>
  <c r="P1101" i="10"/>
  <c r="P1100" i="10"/>
  <c r="P1099" i="10"/>
  <c r="P1098" i="10"/>
  <c r="P1097" i="10"/>
  <c r="P1096" i="10"/>
  <c r="P1095" i="10"/>
  <c r="P1094" i="10"/>
  <c r="P1093" i="10"/>
  <c r="P1092" i="10"/>
  <c r="P1091" i="10"/>
  <c r="P1090" i="10"/>
  <c r="P1089" i="10"/>
  <c r="P1088" i="10"/>
  <c r="P1087" i="10"/>
  <c r="P1086" i="10"/>
  <c r="P1085" i="10"/>
  <c r="P1084" i="10"/>
  <c r="P1083" i="10"/>
  <c r="P1082" i="10"/>
  <c r="P1081" i="10"/>
  <c r="P1080" i="10"/>
  <c r="P1079" i="10"/>
  <c r="P1078" i="10"/>
  <c r="P1077" i="10"/>
  <c r="P1076" i="10"/>
  <c r="P1075" i="10"/>
  <c r="P1074" i="10"/>
  <c r="P1073" i="10"/>
  <c r="P1072" i="10"/>
  <c r="P1071" i="10"/>
  <c r="P1070" i="10"/>
  <c r="P1069" i="10"/>
  <c r="P1068" i="10"/>
  <c r="P1067" i="10"/>
  <c r="P1066" i="10"/>
  <c r="P1065" i="10"/>
  <c r="P1064" i="10"/>
  <c r="P1063" i="10"/>
  <c r="P1062" i="10"/>
  <c r="P1061" i="10"/>
  <c r="P1060" i="10"/>
  <c r="P1059" i="10"/>
  <c r="P1058" i="10"/>
  <c r="P1057" i="10"/>
  <c r="P1056" i="10"/>
  <c r="P1055" i="10"/>
  <c r="P1054" i="10"/>
  <c r="P1053" i="10"/>
  <c r="P1052" i="10"/>
  <c r="P1051" i="10"/>
  <c r="P1050" i="10"/>
  <c r="P1049" i="10"/>
  <c r="P1048" i="10"/>
  <c r="P1047" i="10"/>
  <c r="P1046" i="10"/>
  <c r="P1045" i="10"/>
  <c r="P1044" i="10"/>
  <c r="P1043" i="10"/>
  <c r="P1042" i="10"/>
  <c r="P1041" i="10"/>
  <c r="P1040" i="10"/>
  <c r="P1039" i="10"/>
  <c r="P1038" i="10"/>
  <c r="P1037" i="10"/>
  <c r="P1036" i="10"/>
  <c r="P1035" i="10"/>
  <c r="P1034" i="10"/>
  <c r="P1033" i="10"/>
  <c r="P1032" i="10"/>
  <c r="P1031" i="10"/>
  <c r="P1030" i="10"/>
  <c r="P1029" i="10"/>
  <c r="P1028" i="10"/>
  <c r="P1027" i="10"/>
  <c r="P1026" i="10"/>
  <c r="P1025" i="10"/>
  <c r="P1024" i="10"/>
  <c r="P1023" i="10"/>
  <c r="P1022" i="10"/>
  <c r="P1021" i="10"/>
  <c r="P1020" i="10"/>
  <c r="P1019" i="10"/>
  <c r="P1018" i="10"/>
  <c r="P1017" i="10"/>
  <c r="P1016" i="10"/>
  <c r="P1015" i="10"/>
  <c r="P1014" i="10"/>
  <c r="P1013" i="10"/>
  <c r="P1012" i="10"/>
  <c r="P1011" i="10"/>
  <c r="P1010" i="10"/>
  <c r="P1009" i="10"/>
  <c r="P1008" i="10"/>
  <c r="P1007" i="10"/>
  <c r="P1006" i="10"/>
  <c r="P1005" i="10"/>
  <c r="P1004" i="10"/>
  <c r="P1003" i="10"/>
  <c r="P1002" i="10"/>
  <c r="P1001" i="10"/>
  <c r="P1000" i="10"/>
  <c r="P999" i="10"/>
  <c r="P998" i="10"/>
  <c r="P997" i="10"/>
  <c r="P996" i="10"/>
  <c r="P995" i="10"/>
  <c r="P994" i="10"/>
  <c r="P993" i="10"/>
  <c r="P992" i="10"/>
  <c r="P991" i="10"/>
  <c r="P990" i="10"/>
  <c r="P989" i="10"/>
  <c r="P988" i="10"/>
  <c r="P987" i="10"/>
  <c r="P986" i="10"/>
  <c r="P985" i="10"/>
  <c r="P984" i="10"/>
  <c r="P983" i="10"/>
  <c r="P982" i="10"/>
  <c r="P981" i="10"/>
  <c r="P980" i="10"/>
  <c r="P979" i="10"/>
  <c r="P978" i="10"/>
  <c r="P977" i="10"/>
  <c r="P976" i="10"/>
  <c r="P975" i="10"/>
  <c r="P974" i="10"/>
  <c r="P973" i="10"/>
  <c r="P972" i="10"/>
  <c r="P971" i="10"/>
  <c r="P970" i="10"/>
  <c r="P969" i="10"/>
  <c r="P968" i="10"/>
  <c r="P967" i="10"/>
  <c r="P966" i="10"/>
  <c r="P965" i="10"/>
  <c r="P964" i="10"/>
  <c r="P963" i="10"/>
  <c r="P962" i="10"/>
  <c r="P961" i="10"/>
  <c r="P960" i="10"/>
  <c r="P959" i="10"/>
  <c r="P958" i="10"/>
  <c r="P957" i="10"/>
  <c r="P956" i="10"/>
  <c r="P955" i="10"/>
  <c r="P954" i="10"/>
  <c r="P953" i="10"/>
  <c r="P952" i="10"/>
  <c r="P951" i="10"/>
  <c r="P950" i="10"/>
  <c r="P949" i="10"/>
  <c r="P948" i="10"/>
  <c r="P947" i="10"/>
  <c r="P946" i="10"/>
  <c r="P945" i="10"/>
  <c r="P944" i="10"/>
  <c r="P943" i="10"/>
  <c r="P942" i="10"/>
  <c r="P941" i="10"/>
  <c r="P940" i="10"/>
  <c r="P939" i="10"/>
  <c r="P938" i="10"/>
  <c r="P937" i="10"/>
  <c r="P936" i="10"/>
  <c r="P935" i="10"/>
  <c r="P934" i="10"/>
  <c r="P933" i="10"/>
  <c r="P932" i="10"/>
  <c r="P931" i="10"/>
  <c r="P930" i="10"/>
  <c r="P929" i="10"/>
  <c r="P928" i="10"/>
  <c r="P927" i="10"/>
  <c r="P926" i="10"/>
  <c r="P925" i="10"/>
  <c r="P924" i="10"/>
  <c r="P923" i="10"/>
  <c r="P922" i="10"/>
  <c r="P921" i="10"/>
  <c r="P920" i="10"/>
  <c r="P919" i="10"/>
  <c r="P918" i="10"/>
  <c r="P917" i="10"/>
  <c r="P916" i="10"/>
  <c r="P915" i="10"/>
  <c r="P914" i="10"/>
  <c r="P913" i="10"/>
  <c r="P912" i="10"/>
  <c r="P911" i="10"/>
  <c r="P910" i="10"/>
  <c r="P909" i="10"/>
  <c r="P908" i="10"/>
  <c r="P907" i="10"/>
  <c r="P906" i="10"/>
  <c r="P905" i="10"/>
  <c r="P904" i="10"/>
  <c r="P903" i="10"/>
  <c r="P902" i="10"/>
  <c r="P901" i="10"/>
  <c r="P900" i="10"/>
  <c r="P899" i="10"/>
  <c r="P898" i="10"/>
  <c r="P897" i="10"/>
  <c r="P896" i="10"/>
  <c r="P895" i="10"/>
  <c r="P894" i="10"/>
  <c r="P893" i="10"/>
  <c r="P892" i="10"/>
  <c r="P891" i="10"/>
  <c r="P890" i="10"/>
  <c r="P889" i="10"/>
  <c r="P888" i="10"/>
  <c r="P887" i="10"/>
  <c r="P886" i="10"/>
  <c r="P885" i="10"/>
  <c r="P884" i="10"/>
  <c r="P883" i="10"/>
  <c r="P882" i="10"/>
  <c r="P881" i="10"/>
  <c r="P880" i="10"/>
  <c r="P879" i="10"/>
  <c r="P878" i="10"/>
  <c r="P877" i="10"/>
  <c r="P876" i="10"/>
  <c r="P875" i="10"/>
  <c r="P874" i="10"/>
  <c r="P873" i="10"/>
  <c r="P872" i="10"/>
  <c r="P871" i="10"/>
  <c r="P870" i="10"/>
  <c r="P869" i="10"/>
  <c r="P868" i="10"/>
  <c r="P867" i="10"/>
  <c r="P866" i="10"/>
  <c r="P865" i="10"/>
  <c r="P864" i="10"/>
  <c r="P863" i="10"/>
  <c r="P862" i="10"/>
  <c r="P861" i="10"/>
  <c r="P860" i="10"/>
  <c r="P859" i="10"/>
  <c r="P858" i="10"/>
  <c r="P857" i="10"/>
  <c r="P856" i="10"/>
  <c r="P855" i="10"/>
  <c r="P854" i="10"/>
  <c r="P853" i="10"/>
  <c r="P852" i="10"/>
  <c r="P851" i="10"/>
  <c r="P850" i="10"/>
  <c r="P849" i="10"/>
  <c r="P848" i="10"/>
  <c r="P847" i="10"/>
  <c r="P846" i="10"/>
  <c r="P845" i="10"/>
  <c r="P844" i="10"/>
  <c r="P843" i="10"/>
  <c r="P842" i="10"/>
  <c r="P841" i="10"/>
  <c r="P840" i="10"/>
  <c r="P839" i="10"/>
  <c r="P838" i="10"/>
  <c r="P837" i="10"/>
  <c r="P836" i="10"/>
  <c r="P835" i="10"/>
  <c r="P834" i="10"/>
  <c r="P833" i="10"/>
  <c r="P832" i="10"/>
  <c r="P831" i="10"/>
  <c r="P830" i="10"/>
  <c r="P829" i="10"/>
  <c r="P828" i="10"/>
  <c r="P827" i="10"/>
  <c r="P826" i="10"/>
  <c r="P825" i="10"/>
  <c r="P824" i="10"/>
  <c r="P823" i="10"/>
  <c r="P822" i="10"/>
  <c r="P821" i="10"/>
  <c r="P820" i="10"/>
  <c r="P819" i="10"/>
  <c r="P818" i="10"/>
  <c r="P817" i="10"/>
  <c r="P816" i="10"/>
  <c r="P815" i="10"/>
  <c r="P814" i="10"/>
  <c r="P813" i="10"/>
  <c r="P812" i="10"/>
  <c r="P811" i="10"/>
  <c r="P810" i="10"/>
  <c r="P809" i="10"/>
  <c r="P808" i="10"/>
  <c r="P807" i="10"/>
  <c r="P806" i="10"/>
  <c r="P805" i="10"/>
  <c r="P804" i="10"/>
  <c r="P803" i="10"/>
  <c r="P802" i="10"/>
  <c r="P801" i="10"/>
  <c r="P800" i="10"/>
  <c r="P799" i="10"/>
  <c r="P798" i="10"/>
  <c r="P797" i="10"/>
  <c r="P796" i="10"/>
  <c r="P795" i="10"/>
  <c r="P794" i="10"/>
  <c r="P793" i="10"/>
  <c r="P792" i="10"/>
  <c r="P791" i="10"/>
  <c r="P790" i="10"/>
  <c r="P789" i="10"/>
  <c r="P788" i="10"/>
  <c r="P787" i="10"/>
  <c r="P786" i="10"/>
  <c r="P785" i="10"/>
  <c r="P784" i="10"/>
  <c r="P783" i="10"/>
  <c r="P782" i="10"/>
  <c r="P781" i="10"/>
  <c r="P780" i="10"/>
  <c r="P779" i="10"/>
  <c r="P778" i="10"/>
  <c r="P777" i="10"/>
  <c r="P776" i="10"/>
  <c r="P775" i="10"/>
  <c r="P774" i="10"/>
  <c r="P773" i="10"/>
  <c r="P772" i="10"/>
  <c r="P771" i="10"/>
  <c r="P770" i="10"/>
  <c r="P769" i="10"/>
  <c r="P768" i="10"/>
  <c r="P767" i="10"/>
  <c r="P766" i="10"/>
  <c r="P765" i="10"/>
  <c r="P764" i="10"/>
  <c r="P763" i="10"/>
  <c r="P762" i="10"/>
  <c r="P761" i="10"/>
  <c r="P760" i="10"/>
  <c r="P759" i="10"/>
  <c r="P758" i="10"/>
  <c r="P757" i="10"/>
  <c r="P756" i="10"/>
  <c r="P755" i="10"/>
  <c r="P754" i="10"/>
  <c r="P753" i="10"/>
  <c r="P752" i="10"/>
  <c r="P751" i="10"/>
  <c r="P750" i="10"/>
  <c r="P749" i="10"/>
  <c r="P748" i="10"/>
  <c r="P747" i="10"/>
  <c r="P746" i="10"/>
  <c r="P745" i="10"/>
  <c r="P744" i="10"/>
  <c r="P743" i="10"/>
  <c r="P742" i="10"/>
  <c r="P741" i="10"/>
  <c r="P740" i="10"/>
  <c r="P739" i="10"/>
  <c r="P738" i="10"/>
  <c r="P737" i="10"/>
  <c r="P736" i="10"/>
  <c r="P735" i="10"/>
  <c r="P734" i="10"/>
  <c r="P733" i="10"/>
  <c r="P732" i="10"/>
  <c r="P731" i="10"/>
  <c r="P730" i="10"/>
  <c r="P729" i="10"/>
  <c r="P728" i="10"/>
  <c r="P727" i="10"/>
  <c r="P726" i="10"/>
  <c r="P725" i="10"/>
  <c r="P724" i="10"/>
  <c r="P723" i="10"/>
  <c r="P722" i="10"/>
  <c r="P721" i="10"/>
  <c r="P720" i="10"/>
  <c r="P719" i="10"/>
  <c r="P718" i="10"/>
  <c r="P717" i="10"/>
  <c r="P716" i="10"/>
  <c r="P715" i="10"/>
  <c r="P714" i="10"/>
  <c r="P713" i="10"/>
  <c r="P712" i="10"/>
  <c r="P711" i="10"/>
  <c r="P710" i="10"/>
  <c r="P709" i="10"/>
  <c r="P708" i="10"/>
  <c r="P707" i="10"/>
  <c r="P706" i="10"/>
  <c r="P705" i="10"/>
  <c r="P704" i="10"/>
  <c r="P703" i="10"/>
  <c r="P702" i="10"/>
  <c r="P701" i="10"/>
  <c r="P700" i="10"/>
  <c r="P699" i="10"/>
  <c r="P698" i="10"/>
  <c r="P697" i="10"/>
  <c r="P696" i="10"/>
  <c r="P695" i="10"/>
  <c r="P694" i="10"/>
  <c r="P693" i="10"/>
  <c r="P692" i="10"/>
  <c r="P691" i="10"/>
  <c r="P690" i="10"/>
  <c r="P689" i="10"/>
  <c r="P688" i="10"/>
  <c r="P687" i="10"/>
  <c r="P686" i="10"/>
  <c r="P685" i="10"/>
  <c r="P684" i="10"/>
  <c r="P683" i="10"/>
  <c r="P682" i="10"/>
  <c r="P681" i="10"/>
  <c r="P680" i="10"/>
  <c r="P679" i="10"/>
  <c r="P678" i="10"/>
  <c r="P677" i="10"/>
  <c r="P676" i="10"/>
  <c r="P675" i="10"/>
  <c r="P674" i="10"/>
  <c r="P673" i="10"/>
  <c r="P672" i="10"/>
  <c r="P671" i="10"/>
  <c r="P670" i="10"/>
  <c r="P669" i="10"/>
  <c r="P668" i="10"/>
  <c r="P667" i="10"/>
  <c r="P666" i="10"/>
  <c r="P665" i="10"/>
  <c r="P664" i="10"/>
  <c r="P663" i="10"/>
  <c r="P662" i="10"/>
  <c r="P661" i="10"/>
  <c r="P660" i="10"/>
  <c r="P659" i="10"/>
  <c r="P658" i="10"/>
  <c r="P657" i="10"/>
  <c r="P656" i="10"/>
  <c r="P655" i="10"/>
  <c r="P654" i="10"/>
  <c r="P653" i="10"/>
  <c r="P652" i="10"/>
  <c r="P651" i="10"/>
  <c r="P650" i="10"/>
  <c r="P649" i="10"/>
  <c r="P648" i="10"/>
  <c r="P647" i="10"/>
  <c r="P646" i="10"/>
  <c r="P645" i="10"/>
  <c r="P644" i="10"/>
  <c r="P643" i="10"/>
  <c r="P642" i="10"/>
  <c r="P641" i="10"/>
  <c r="P640" i="10"/>
  <c r="P639" i="10"/>
  <c r="P638" i="10"/>
  <c r="P637" i="10"/>
  <c r="P636" i="10"/>
  <c r="P635" i="10"/>
  <c r="P634" i="10"/>
  <c r="P633" i="10"/>
  <c r="P632" i="10"/>
  <c r="P631" i="10"/>
  <c r="P630" i="10"/>
  <c r="P629" i="10"/>
  <c r="P628" i="10"/>
  <c r="P627" i="10"/>
  <c r="P626" i="10"/>
  <c r="P625" i="10"/>
  <c r="P624" i="10"/>
  <c r="P623" i="10"/>
  <c r="P622" i="10"/>
  <c r="P621" i="10"/>
  <c r="P620" i="10"/>
  <c r="P619" i="10"/>
  <c r="P618" i="10"/>
  <c r="P617" i="10"/>
  <c r="P616" i="10"/>
  <c r="P615" i="10"/>
  <c r="P614" i="10"/>
  <c r="P613" i="10"/>
  <c r="P612" i="10"/>
  <c r="P611" i="10"/>
  <c r="P610" i="10"/>
  <c r="P609" i="10"/>
  <c r="P608" i="10"/>
  <c r="P607" i="10"/>
  <c r="P606" i="10"/>
  <c r="P605" i="10"/>
  <c r="P604" i="10"/>
  <c r="P603" i="10"/>
  <c r="P602" i="10"/>
  <c r="P601" i="10"/>
  <c r="P600" i="10"/>
  <c r="P599" i="10"/>
  <c r="P598" i="10"/>
  <c r="P597" i="10"/>
  <c r="P596" i="10"/>
  <c r="P595" i="10"/>
  <c r="P594" i="10"/>
  <c r="P593" i="10"/>
  <c r="P592" i="10"/>
  <c r="P591" i="10"/>
  <c r="P590" i="10"/>
  <c r="P589" i="10"/>
  <c r="P588" i="10"/>
  <c r="P587" i="10"/>
  <c r="P586" i="10"/>
  <c r="P585" i="10"/>
  <c r="P584" i="10"/>
  <c r="P583" i="10"/>
  <c r="P582" i="10"/>
  <c r="P581" i="10"/>
  <c r="P580" i="10"/>
  <c r="P579" i="10"/>
  <c r="P578" i="10"/>
  <c r="P577" i="10"/>
  <c r="P576" i="10"/>
  <c r="P575" i="10"/>
  <c r="P574" i="10"/>
  <c r="P573" i="10"/>
  <c r="P572" i="10"/>
  <c r="P571" i="10"/>
  <c r="P570" i="10"/>
  <c r="P569" i="10"/>
  <c r="P568" i="10"/>
  <c r="P567" i="10"/>
  <c r="P566" i="10"/>
  <c r="P565" i="10"/>
  <c r="P564" i="10"/>
  <c r="P563" i="10"/>
  <c r="P562" i="10"/>
  <c r="P561" i="10"/>
  <c r="P560" i="10"/>
  <c r="P559" i="10"/>
  <c r="P558" i="10"/>
  <c r="P557" i="10"/>
  <c r="P556" i="10"/>
  <c r="P555" i="10"/>
  <c r="P554" i="10"/>
  <c r="P553" i="10"/>
  <c r="P552" i="10"/>
  <c r="P551" i="10"/>
  <c r="P550" i="10"/>
  <c r="P549" i="10"/>
  <c r="P548" i="10"/>
  <c r="P547" i="10"/>
  <c r="P546" i="10"/>
  <c r="P545" i="10"/>
  <c r="P544" i="10"/>
  <c r="P543" i="10"/>
  <c r="P542" i="10"/>
  <c r="P541" i="10"/>
  <c r="P540" i="10"/>
  <c r="P539" i="10"/>
  <c r="P538" i="10"/>
  <c r="P537" i="10"/>
  <c r="P536" i="10"/>
  <c r="P535" i="10"/>
  <c r="P534" i="10"/>
  <c r="P533" i="10"/>
  <c r="P532" i="10"/>
  <c r="P531" i="10"/>
  <c r="P530" i="10"/>
  <c r="P529" i="10"/>
  <c r="P528" i="10"/>
  <c r="P527" i="10"/>
  <c r="P526" i="10"/>
  <c r="P525" i="10"/>
  <c r="P524" i="10"/>
  <c r="P523" i="10"/>
  <c r="P522" i="10"/>
  <c r="P521" i="10"/>
  <c r="P520" i="10"/>
  <c r="P519" i="10"/>
  <c r="P518" i="10"/>
  <c r="P517" i="10"/>
  <c r="P516" i="10"/>
  <c r="P515" i="10"/>
  <c r="P514" i="10"/>
  <c r="P513" i="10"/>
  <c r="P512" i="10"/>
  <c r="P511" i="10"/>
  <c r="P510" i="10"/>
  <c r="P509" i="10"/>
  <c r="P508" i="10"/>
  <c r="P507" i="10"/>
  <c r="P506" i="10"/>
  <c r="P505" i="10"/>
  <c r="P504" i="10"/>
  <c r="P503" i="10"/>
  <c r="P502" i="10"/>
  <c r="P501" i="10"/>
  <c r="P500" i="10"/>
  <c r="P499" i="10"/>
  <c r="P498" i="10"/>
  <c r="P497" i="10"/>
  <c r="P496" i="10"/>
  <c r="P495" i="10"/>
  <c r="P494" i="10"/>
  <c r="P493" i="10"/>
  <c r="P492" i="10"/>
  <c r="P491" i="10"/>
  <c r="P490" i="10"/>
  <c r="P489" i="10"/>
  <c r="P488" i="10"/>
  <c r="P487" i="10"/>
  <c r="P486" i="10"/>
  <c r="P485" i="10"/>
  <c r="P484" i="10"/>
  <c r="P483" i="10"/>
  <c r="P482" i="10"/>
  <c r="P481" i="10"/>
  <c r="P480" i="10"/>
  <c r="P479" i="10"/>
  <c r="P478" i="10"/>
  <c r="P477" i="10"/>
  <c r="P476" i="10"/>
  <c r="P475" i="10"/>
  <c r="P474" i="10"/>
  <c r="P473" i="10"/>
  <c r="P472" i="10"/>
  <c r="P471" i="10"/>
  <c r="P470" i="10"/>
  <c r="P469" i="10"/>
  <c r="P468" i="10"/>
  <c r="P467" i="10"/>
  <c r="P466" i="10"/>
  <c r="P465" i="10"/>
  <c r="P464" i="10"/>
  <c r="P463" i="10"/>
  <c r="P462" i="10"/>
  <c r="P461" i="10"/>
  <c r="P460" i="10"/>
  <c r="P459" i="10"/>
  <c r="P458" i="10"/>
  <c r="P457" i="10"/>
  <c r="P456" i="10"/>
  <c r="P455" i="10"/>
  <c r="P454" i="10"/>
  <c r="P453" i="10"/>
  <c r="P452" i="10"/>
  <c r="P451" i="10"/>
  <c r="P450" i="10"/>
  <c r="P449" i="10"/>
  <c r="P448" i="10"/>
  <c r="P447" i="10"/>
  <c r="P446" i="10"/>
  <c r="P445" i="10"/>
  <c r="P444" i="10"/>
  <c r="P443" i="10"/>
  <c r="P442" i="10"/>
  <c r="P441" i="10"/>
  <c r="P440" i="10"/>
  <c r="P439" i="10"/>
  <c r="P438" i="10"/>
  <c r="P437" i="10"/>
  <c r="P436" i="10"/>
  <c r="P435" i="10"/>
  <c r="P434" i="10"/>
  <c r="P433" i="10"/>
  <c r="P432" i="10"/>
  <c r="P431" i="10"/>
  <c r="P430" i="10"/>
  <c r="P429" i="10"/>
  <c r="P428" i="10"/>
  <c r="P427" i="10"/>
  <c r="P426" i="10"/>
  <c r="P425" i="10"/>
  <c r="P424" i="10"/>
  <c r="P423" i="10"/>
  <c r="P422" i="10"/>
  <c r="P421" i="10"/>
  <c r="P420" i="10"/>
  <c r="P419" i="10"/>
  <c r="P418" i="10"/>
  <c r="P417" i="10"/>
  <c r="P416" i="10"/>
  <c r="P415" i="10"/>
  <c r="P414" i="10"/>
  <c r="P413" i="10"/>
  <c r="P412" i="10"/>
  <c r="P411" i="10"/>
  <c r="P410" i="10"/>
  <c r="P409" i="10"/>
  <c r="P408" i="10"/>
  <c r="P407" i="10"/>
  <c r="P406" i="10"/>
  <c r="P405" i="10"/>
  <c r="P404" i="10"/>
  <c r="P403" i="10"/>
  <c r="P402" i="10"/>
  <c r="P401" i="10"/>
  <c r="P400" i="10"/>
  <c r="P399" i="10"/>
  <c r="P398" i="10"/>
  <c r="P397" i="10"/>
  <c r="P396" i="10"/>
  <c r="P395" i="10"/>
  <c r="P394" i="10"/>
  <c r="P393" i="10"/>
  <c r="P392" i="10"/>
  <c r="P391" i="10"/>
  <c r="P390" i="10"/>
  <c r="P389" i="10"/>
  <c r="P388" i="10"/>
  <c r="P387" i="10"/>
  <c r="P386" i="10"/>
  <c r="P385" i="10"/>
  <c r="P384" i="10"/>
  <c r="P383" i="10"/>
  <c r="P382" i="10"/>
  <c r="P381" i="10"/>
  <c r="P380" i="10"/>
  <c r="P379" i="10"/>
  <c r="P378" i="10"/>
  <c r="P377" i="10"/>
  <c r="P376" i="10"/>
  <c r="P375" i="10"/>
  <c r="P374" i="10"/>
  <c r="P373" i="10"/>
  <c r="P372" i="10"/>
  <c r="P371" i="10"/>
  <c r="P370" i="10"/>
  <c r="P369" i="10"/>
  <c r="P368" i="10"/>
  <c r="P367" i="10"/>
  <c r="P366" i="10"/>
  <c r="P365" i="10"/>
  <c r="P364" i="10"/>
  <c r="P363" i="10"/>
  <c r="P362" i="10"/>
  <c r="P361" i="10"/>
  <c r="P360" i="10"/>
  <c r="P359" i="10"/>
  <c r="P358" i="10"/>
  <c r="P357" i="10"/>
  <c r="P356" i="10"/>
  <c r="P355" i="10"/>
  <c r="P354" i="10"/>
  <c r="P353" i="10"/>
  <c r="P352" i="10"/>
  <c r="P351" i="10"/>
  <c r="P350" i="10"/>
  <c r="P349" i="10"/>
  <c r="P348" i="10"/>
  <c r="P347" i="10"/>
  <c r="P346" i="10"/>
  <c r="P345" i="10"/>
  <c r="P344" i="10"/>
  <c r="P343" i="10"/>
  <c r="P342" i="10"/>
  <c r="P341" i="10"/>
  <c r="P340" i="10"/>
  <c r="P339" i="10"/>
  <c r="P338" i="10"/>
  <c r="P337" i="10"/>
  <c r="P336" i="10"/>
  <c r="P335" i="10"/>
  <c r="P334" i="10"/>
  <c r="P333" i="10"/>
  <c r="P332" i="10"/>
  <c r="P331" i="10"/>
  <c r="P330" i="10"/>
  <c r="P329" i="10"/>
  <c r="P328" i="10"/>
  <c r="P327" i="10"/>
  <c r="P326" i="10"/>
  <c r="P325" i="10"/>
  <c r="P324" i="10"/>
  <c r="P323" i="10"/>
  <c r="P322" i="10"/>
  <c r="P321" i="10"/>
  <c r="P320" i="10"/>
  <c r="P319" i="10"/>
  <c r="P318" i="10"/>
  <c r="P317" i="10"/>
  <c r="P316" i="10"/>
  <c r="P315" i="10"/>
  <c r="P314" i="10"/>
  <c r="P313" i="10"/>
  <c r="P312" i="10"/>
  <c r="P311" i="10"/>
  <c r="P310" i="10"/>
  <c r="P309" i="10"/>
  <c r="P308" i="10"/>
  <c r="P307" i="10"/>
  <c r="P306" i="10"/>
  <c r="P305" i="10"/>
  <c r="P304" i="10"/>
  <c r="P303" i="10"/>
  <c r="P302" i="10"/>
  <c r="P301" i="10"/>
  <c r="P300" i="10"/>
  <c r="P299" i="10"/>
  <c r="P298" i="10"/>
  <c r="P297" i="10"/>
  <c r="P296" i="10"/>
  <c r="P295" i="10"/>
  <c r="P294" i="10"/>
  <c r="P293" i="10"/>
  <c r="P292" i="10"/>
  <c r="P291" i="10"/>
  <c r="P290" i="10"/>
  <c r="P289" i="10"/>
  <c r="P288" i="10"/>
  <c r="P287" i="10"/>
  <c r="P286" i="10"/>
  <c r="P285" i="10"/>
  <c r="P284" i="10"/>
  <c r="P283" i="10"/>
  <c r="P282" i="10"/>
  <c r="P281" i="10"/>
  <c r="P280" i="10"/>
  <c r="P279" i="10"/>
  <c r="P278" i="10"/>
  <c r="P277" i="10"/>
  <c r="P276" i="10"/>
  <c r="P275" i="10"/>
  <c r="P274" i="10"/>
  <c r="P273" i="10"/>
  <c r="P272" i="10"/>
  <c r="P271" i="10"/>
  <c r="P270" i="10"/>
  <c r="P269" i="10"/>
  <c r="P268" i="10"/>
  <c r="P267" i="10"/>
  <c r="P266" i="10"/>
  <c r="P265" i="10"/>
  <c r="P264" i="10"/>
  <c r="P263" i="10"/>
  <c r="P262" i="10"/>
  <c r="P261" i="10"/>
  <c r="P260" i="10"/>
  <c r="P259" i="10"/>
  <c r="P258" i="10"/>
  <c r="P257" i="10"/>
  <c r="P256" i="10"/>
  <c r="P255" i="10"/>
  <c r="P254" i="10"/>
  <c r="P253" i="10"/>
  <c r="P252" i="10"/>
  <c r="P251" i="10"/>
  <c r="P250" i="10"/>
  <c r="P249" i="10"/>
  <c r="P248" i="10"/>
  <c r="P247" i="10"/>
  <c r="P246" i="10"/>
  <c r="P245" i="10"/>
  <c r="P244" i="10"/>
  <c r="P243" i="10"/>
  <c r="P242" i="10"/>
  <c r="P241" i="10"/>
  <c r="P240" i="10"/>
  <c r="P239" i="10"/>
  <c r="P238" i="10"/>
  <c r="P237" i="10"/>
  <c r="P236" i="10"/>
  <c r="P235" i="10"/>
  <c r="P234" i="10"/>
  <c r="P233" i="10"/>
  <c r="P232" i="10"/>
  <c r="P231" i="10"/>
  <c r="P230" i="10"/>
  <c r="P229" i="10"/>
  <c r="P228" i="10"/>
  <c r="P227" i="10"/>
  <c r="P226" i="10"/>
  <c r="P225" i="10"/>
  <c r="P224" i="10"/>
  <c r="P223" i="10"/>
  <c r="P222" i="10"/>
  <c r="P221" i="10"/>
  <c r="P220" i="10"/>
  <c r="P219" i="10"/>
  <c r="P218" i="10"/>
  <c r="P217" i="10"/>
  <c r="P216" i="10"/>
  <c r="P215" i="10"/>
  <c r="P214" i="10"/>
  <c r="P213" i="10"/>
  <c r="P212" i="10"/>
  <c r="P211" i="10"/>
  <c r="P210" i="10"/>
  <c r="P209" i="10"/>
  <c r="P208" i="10"/>
  <c r="P207" i="10"/>
  <c r="P206" i="10"/>
  <c r="P205" i="10"/>
  <c r="P204" i="10"/>
  <c r="P203" i="10"/>
  <c r="P202" i="10"/>
  <c r="P201" i="10"/>
  <c r="P200" i="10"/>
  <c r="P199" i="10"/>
  <c r="P198" i="10"/>
  <c r="P197" i="10"/>
  <c r="P196" i="10"/>
  <c r="P195" i="10"/>
  <c r="P194" i="10"/>
  <c r="P193" i="10"/>
  <c r="P192" i="10"/>
  <c r="P191" i="10"/>
  <c r="P190" i="10"/>
  <c r="P189" i="10"/>
  <c r="P188" i="10"/>
  <c r="P187" i="10"/>
  <c r="P186" i="10"/>
  <c r="P185" i="10"/>
  <c r="P184" i="10"/>
  <c r="P183" i="10"/>
  <c r="P182" i="10"/>
  <c r="P181" i="10"/>
  <c r="P180" i="10"/>
  <c r="P179" i="10"/>
  <c r="P178" i="10"/>
  <c r="P177" i="10"/>
  <c r="P176" i="10"/>
  <c r="P175" i="10"/>
  <c r="P174" i="10"/>
  <c r="P173" i="10"/>
  <c r="P172" i="10"/>
  <c r="P171" i="10"/>
  <c r="P170" i="10"/>
  <c r="P169" i="10"/>
  <c r="P168" i="10"/>
  <c r="P167" i="10"/>
  <c r="P166" i="10"/>
  <c r="P165" i="10"/>
  <c r="P164" i="10"/>
  <c r="P163" i="10"/>
  <c r="P162" i="10"/>
  <c r="P161" i="10"/>
  <c r="P160" i="10"/>
  <c r="P159" i="10"/>
  <c r="P158" i="10"/>
  <c r="P157" i="10"/>
  <c r="P156" i="10"/>
  <c r="P155" i="10"/>
  <c r="P154" i="10"/>
  <c r="P153" i="10"/>
  <c r="P152" i="10"/>
  <c r="P151" i="10"/>
  <c r="P150" i="10"/>
  <c r="P149" i="10"/>
  <c r="P148" i="10"/>
  <c r="P147" i="10"/>
  <c r="P146" i="10"/>
  <c r="P145" i="10"/>
  <c r="P144" i="10"/>
  <c r="P143" i="10"/>
  <c r="P142" i="10"/>
  <c r="P141" i="10"/>
  <c r="P140" i="10"/>
  <c r="P139" i="10"/>
  <c r="P138" i="10"/>
  <c r="P137" i="10"/>
  <c r="P136" i="10"/>
  <c r="P135" i="10"/>
  <c r="P134" i="10"/>
  <c r="P133" i="10"/>
  <c r="P132" i="10"/>
  <c r="P131" i="10"/>
  <c r="P130" i="10"/>
  <c r="P129" i="10"/>
  <c r="P128" i="10"/>
  <c r="P127" i="10"/>
  <c r="P126" i="10"/>
  <c r="P125" i="10"/>
  <c r="P124" i="10"/>
  <c r="P123" i="10"/>
  <c r="P122" i="10"/>
  <c r="P121" i="10"/>
  <c r="P120" i="10"/>
  <c r="P119" i="10"/>
  <c r="P118" i="10"/>
  <c r="P117" i="10"/>
  <c r="P116" i="10"/>
  <c r="P115" i="10"/>
  <c r="P114" i="10"/>
  <c r="P113" i="10"/>
  <c r="P112" i="10"/>
  <c r="P111" i="10"/>
  <c r="P110" i="10"/>
  <c r="P109" i="10"/>
  <c r="P108" i="10"/>
  <c r="P107" i="10"/>
  <c r="P106" i="10"/>
  <c r="P105" i="10"/>
  <c r="P104" i="10"/>
  <c r="P103" i="10"/>
  <c r="P102" i="10"/>
  <c r="P101" i="10"/>
  <c r="P100" i="10"/>
  <c r="P99" i="10"/>
  <c r="P98" i="10"/>
  <c r="P97" i="10"/>
  <c r="P96" i="10"/>
  <c r="P95" i="10"/>
  <c r="P94" i="10"/>
  <c r="P93" i="10"/>
  <c r="P92" i="10"/>
  <c r="P91" i="10"/>
  <c r="P90" i="10"/>
  <c r="P89" i="10"/>
  <c r="P88" i="10"/>
  <c r="P87" i="10"/>
  <c r="P86" i="10"/>
  <c r="P85" i="10"/>
  <c r="P84" i="10"/>
  <c r="P83" i="10"/>
  <c r="P82" i="10"/>
  <c r="P81" i="10"/>
  <c r="P80" i="10"/>
  <c r="P79" i="10"/>
  <c r="P78" i="10"/>
  <c r="P77" i="10"/>
  <c r="P76" i="10"/>
  <c r="P75" i="10"/>
  <c r="P74" i="10"/>
  <c r="P73" i="10"/>
  <c r="P72" i="10"/>
  <c r="P71" i="10"/>
  <c r="P70" i="10"/>
  <c r="P69" i="10"/>
  <c r="P68" i="10"/>
  <c r="P67" i="10"/>
  <c r="P66" i="10"/>
  <c r="P65" i="10"/>
  <c r="P64" i="10"/>
  <c r="P63" i="10"/>
  <c r="P62" i="10"/>
  <c r="P61" i="10"/>
  <c r="P60" i="10"/>
  <c r="P59" i="10"/>
  <c r="P58" i="10"/>
  <c r="P57" i="10"/>
  <c r="P56" i="10"/>
  <c r="P55" i="10"/>
  <c r="P54" i="10"/>
  <c r="P53" i="10"/>
  <c r="P52" i="10"/>
  <c r="P51" i="10"/>
  <c r="P50" i="10"/>
  <c r="P49" i="10"/>
  <c r="P48" i="10"/>
  <c r="P47" i="10"/>
  <c r="P46" i="10"/>
  <c r="P45" i="10"/>
  <c r="P44" i="10"/>
  <c r="P43" i="10"/>
  <c r="P42" i="10"/>
  <c r="P41" i="10"/>
  <c r="P40" i="10"/>
  <c r="P39" i="10"/>
  <c r="P38" i="10"/>
  <c r="P37" i="10"/>
  <c r="P36" i="10"/>
  <c r="P35" i="10"/>
  <c r="P34" i="10"/>
  <c r="P33" i="10"/>
  <c r="P32" i="10"/>
  <c r="P31" i="10"/>
  <c r="P30" i="10"/>
  <c r="P29" i="10"/>
  <c r="P28" i="10"/>
  <c r="P27" i="10"/>
  <c r="P26" i="10"/>
  <c r="P25" i="10"/>
  <c r="P24" i="10"/>
  <c r="P23" i="10"/>
  <c r="P22" i="10"/>
  <c r="P21" i="10"/>
  <c r="P20" i="10"/>
  <c r="P19" i="10"/>
  <c r="P18" i="10"/>
  <c r="P17" i="10"/>
  <c r="P16" i="10"/>
  <c r="P15" i="10"/>
  <c r="P14" i="10"/>
  <c r="P13" i="10"/>
  <c r="P12" i="10"/>
  <c r="P11" i="10"/>
  <c r="P10" i="10"/>
  <c r="P9" i="10"/>
  <c r="P8" i="10"/>
  <c r="P7" i="10"/>
  <c r="P6" i="10"/>
  <c r="P5" i="10"/>
  <c r="P4" i="10"/>
  <c r="P3" i="10"/>
  <c r="F77" i="13" l="1"/>
  <c r="Q75" i="13"/>
  <c r="F83" i="13" s="1"/>
  <c r="F78" i="13"/>
  <c r="J78" i="13" s="1"/>
  <c r="F79" i="13"/>
  <c r="J79" i="13" s="1"/>
  <c r="F80" i="13"/>
  <c r="J80" i="13" s="1"/>
  <c r="F81" i="13"/>
  <c r="J81" i="13" s="1"/>
  <c r="L24" i="9"/>
  <c r="O24" i="9" s="1"/>
  <c r="L41" i="9"/>
  <c r="O41" i="9" s="1"/>
  <c r="L40" i="9"/>
  <c r="O40" i="9" s="1"/>
  <c r="L39" i="9"/>
  <c r="O39" i="9" s="1"/>
  <c r="L38" i="9"/>
  <c r="O38" i="9" s="1"/>
  <c r="L37" i="9"/>
  <c r="O37" i="9" s="1"/>
  <c r="L36" i="9"/>
  <c r="O36" i="9" s="1"/>
  <c r="L35" i="9"/>
  <c r="O35" i="9" s="1"/>
  <c r="L34" i="9"/>
  <c r="O34" i="9" s="1"/>
  <c r="L33" i="9"/>
  <c r="O33" i="9" s="1"/>
  <c r="L32" i="9"/>
  <c r="O32" i="9" s="1"/>
  <c r="L31" i="9"/>
  <c r="O31" i="9" s="1"/>
  <c r="L30" i="9"/>
  <c r="O30" i="9" s="1"/>
  <c r="L29" i="9"/>
  <c r="O29" i="9" s="1"/>
  <c r="L28" i="9"/>
  <c r="O28" i="9" s="1"/>
  <c r="L27" i="9"/>
  <c r="O27" i="9" s="1"/>
  <c r="L26" i="9"/>
  <c r="O26" i="9" s="1"/>
  <c r="L25" i="9"/>
  <c r="O25" i="9" s="1"/>
  <c r="L23" i="9"/>
  <c r="I20" i="9"/>
  <c r="D19" i="9"/>
  <c r="J83" i="13" l="1"/>
  <c r="Q82" i="13" s="1"/>
  <c r="J77" i="13"/>
  <c r="Q80" i="13" s="1"/>
  <c r="Q84" i="13" s="1"/>
  <c r="F50" i="9"/>
  <c r="J50" i="9" s="1"/>
  <c r="F84" i="13"/>
  <c r="J84" i="13" s="1"/>
  <c r="Q83" i="13" s="1"/>
  <c r="F47" i="9"/>
  <c r="F48" i="9"/>
  <c r="F49" i="9"/>
  <c r="J49" i="9" s="1"/>
  <c r="D24" i="9"/>
  <c r="D25" i="9" s="1"/>
  <c r="D26" i="9" s="1"/>
  <c r="D27" i="9" s="1"/>
  <c r="D28" i="9" s="1"/>
  <c r="D29" i="9" s="1"/>
  <c r="D30" i="9" s="1"/>
  <c r="D31" i="9" s="1"/>
  <c r="D32" i="9" s="1"/>
  <c r="D33" i="9" s="1"/>
  <c r="D34" i="9" s="1"/>
  <c r="D35" i="9" s="1"/>
  <c r="D36" i="9" s="1"/>
  <c r="D37" i="9" s="1"/>
  <c r="D38" i="9" s="1"/>
  <c r="D39" i="9" s="1"/>
  <c r="D40" i="9" s="1"/>
  <c r="D41" i="9" s="1"/>
  <c r="C3" i="10"/>
  <c r="C4" i="10" s="1"/>
  <c r="C5" i="10" s="1"/>
  <c r="C6" i="10" s="1"/>
  <c r="C7" i="10" s="1"/>
  <c r="C8" i="10" s="1"/>
  <c r="C9" i="10" s="1"/>
  <c r="C10" i="10" s="1"/>
  <c r="C11" i="10" s="1"/>
  <c r="C12" i="10" s="1"/>
  <c r="C13" i="10" s="1"/>
  <c r="C14" i="10" s="1"/>
  <c r="C15" i="10" s="1"/>
  <c r="C16" i="10" s="1"/>
  <c r="C17" i="10" s="1"/>
  <c r="C18" i="10" s="1"/>
  <c r="C19" i="10" s="1"/>
  <c r="C20" i="10" s="1"/>
  <c r="C21" i="10" s="1"/>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76" i="10" s="1"/>
  <c r="C77" i="10" s="1"/>
  <c r="C78" i="10" s="1"/>
  <c r="C79" i="10" s="1"/>
  <c r="C80" i="10" s="1"/>
  <c r="C81" i="10" s="1"/>
  <c r="C82" i="10" s="1"/>
  <c r="C83" i="10" s="1"/>
  <c r="C84" i="10" s="1"/>
  <c r="C85" i="10" s="1"/>
  <c r="C86" i="10" s="1"/>
  <c r="C87" i="10" s="1"/>
  <c r="C88" i="10" s="1"/>
  <c r="C89" i="10" s="1"/>
  <c r="C90" i="10" s="1"/>
  <c r="C91" i="10" s="1"/>
  <c r="C92" i="10" s="1"/>
  <c r="C93" i="10" s="1"/>
  <c r="C94" i="10" s="1"/>
  <c r="C95" i="10" s="1"/>
  <c r="C96" i="10" s="1"/>
  <c r="C97" i="10" s="1"/>
  <c r="C98" i="10" s="1"/>
  <c r="C99" i="10" s="1"/>
  <c r="C100" i="10" s="1"/>
  <c r="C101" i="10" s="1"/>
  <c r="C102" i="10" s="1"/>
  <c r="C103" i="10" s="1"/>
  <c r="C104" i="10" s="1"/>
  <c r="C105" i="10" s="1"/>
  <c r="C106" i="10" s="1"/>
  <c r="C107" i="10" s="1"/>
  <c r="C108" i="10" s="1"/>
  <c r="C109" i="10" s="1"/>
  <c r="C110" i="10" s="1"/>
  <c r="C111" i="10" s="1"/>
  <c r="C112" i="10" s="1"/>
  <c r="C113" i="10" s="1"/>
  <c r="C114" i="10" s="1"/>
  <c r="C115" i="10" s="1"/>
  <c r="C116" i="10" s="1"/>
  <c r="C117" i="10" s="1"/>
  <c r="C118" i="10" s="1"/>
  <c r="C119" i="10" s="1"/>
  <c r="C120" i="10" s="1"/>
  <c r="C121" i="10" s="1"/>
  <c r="C122" i="10" s="1"/>
  <c r="C123" i="10" s="1"/>
  <c r="C124" i="10" s="1"/>
  <c r="C125" i="10" s="1"/>
  <c r="C126" i="10" s="1"/>
  <c r="C127" i="10" s="1"/>
  <c r="C128" i="10" s="1"/>
  <c r="C129" i="10" s="1"/>
  <c r="C130" i="10" s="1"/>
  <c r="C131" i="10" s="1"/>
  <c r="C132" i="10" s="1"/>
  <c r="C133" i="10" s="1"/>
  <c r="C134" i="10" s="1"/>
  <c r="C135" i="10" s="1"/>
  <c r="C136" i="10" s="1"/>
  <c r="C137" i="10" s="1"/>
  <c r="C138" i="10" s="1"/>
  <c r="C139" i="10" s="1"/>
  <c r="C140" i="10" s="1"/>
  <c r="C141" i="10" s="1"/>
  <c r="C142" i="10" s="1"/>
  <c r="C143" i="10" s="1"/>
  <c r="C144" i="10" s="1"/>
  <c r="C145" i="10" s="1"/>
  <c r="C146" i="10" s="1"/>
  <c r="C147" i="10" s="1"/>
  <c r="C148" i="10" s="1"/>
  <c r="C149" i="10" s="1"/>
  <c r="C150" i="10" s="1"/>
  <c r="C151" i="10" s="1"/>
  <c r="C152" i="10" s="1"/>
  <c r="C153" i="10" s="1"/>
  <c r="C154" i="10" s="1"/>
  <c r="C155" i="10" s="1"/>
  <c r="C156" i="10" s="1"/>
  <c r="C157" i="10" s="1"/>
  <c r="C158" i="10" s="1"/>
  <c r="C159" i="10" s="1"/>
  <c r="C160" i="10" s="1"/>
  <c r="C161" i="10" s="1"/>
  <c r="C162" i="10" s="1"/>
  <c r="O49" i="9"/>
  <c r="H53" i="9"/>
  <c r="Q46" i="9"/>
  <c r="Q44" i="9"/>
  <c r="Q79" i="13" l="1"/>
  <c r="Q81" i="13"/>
  <c r="M23" i="9"/>
  <c r="Q85" i="13" l="1"/>
  <c r="Q45" i="9"/>
  <c r="O23" i="9"/>
  <c r="F46" i="9" l="1"/>
  <c r="J46" i="9" s="1"/>
  <c r="Q48" i="9" s="1"/>
  <c r="F53" i="9"/>
  <c r="J53" i="9" s="1"/>
  <c r="Q51" i="9" s="1"/>
  <c r="J47" i="9"/>
  <c r="F52" i="9"/>
  <c r="J52" i="9" s="1"/>
  <c r="Q50" i="9" s="1"/>
  <c r="J48" i="9"/>
  <c r="Q47" i="9"/>
  <c r="Q49" i="9"/>
  <c r="Q53"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Analista Junior</author>
  </authors>
  <commentList>
    <comment ref="D7" authorId="0" shapeId="0" xr:uid="{D563B000-41E2-443B-ABA1-C45F5F3E9D0A}">
      <text>
        <r>
          <rPr>
            <b/>
            <sz val="9"/>
            <color indexed="81"/>
            <rFont val="Tahoma"/>
            <family val="2"/>
          </rPr>
          <t>Analista Junior:</t>
        </r>
        <r>
          <rPr>
            <sz val="9"/>
            <color indexed="81"/>
            <rFont val="Tahoma"/>
            <family val="2"/>
          </rPr>
          <t xml:space="preserve">
Este campo es obligatorio.</t>
        </r>
      </text>
    </comment>
    <comment ref="H7" authorId="0" shapeId="0" xr:uid="{581A7B28-BA35-47C4-8A3A-EB43B82B9467}">
      <text>
        <r>
          <rPr>
            <b/>
            <sz val="9"/>
            <color indexed="81"/>
            <rFont val="Tahoma"/>
            <family val="2"/>
          </rPr>
          <t>Analista Junior:</t>
        </r>
        <r>
          <rPr>
            <sz val="9"/>
            <color indexed="81"/>
            <rFont val="Tahoma"/>
            <family val="2"/>
          </rPr>
          <t xml:space="preserve">
Este campo es obligatorio.</t>
        </r>
      </text>
    </comment>
    <comment ref="L7" authorId="0" shapeId="0" xr:uid="{E466BC78-255D-4624-844C-1F03FFC78831}">
      <text>
        <r>
          <rPr>
            <b/>
            <sz val="9"/>
            <color indexed="81"/>
            <rFont val="Tahoma"/>
            <family val="2"/>
          </rPr>
          <t>Analista Junior:</t>
        </r>
        <r>
          <rPr>
            <sz val="9"/>
            <color indexed="81"/>
            <rFont val="Tahoma"/>
            <family val="2"/>
          </rPr>
          <t xml:space="preserve">
Este campo es obligatorio.</t>
        </r>
      </text>
    </comment>
    <comment ref="P7" authorId="0" shapeId="0" xr:uid="{911B6A18-EE18-4AF6-83DE-9E0C3CB63B7F}">
      <text>
        <r>
          <rPr>
            <b/>
            <sz val="9"/>
            <color indexed="81"/>
            <rFont val="Tahoma"/>
            <family val="2"/>
          </rPr>
          <t>Analista Junior:</t>
        </r>
        <r>
          <rPr>
            <sz val="9"/>
            <color indexed="81"/>
            <rFont val="Tahoma"/>
            <family val="2"/>
          </rPr>
          <t xml:space="preserve">
Para agregar el número de la factura, diríjase a la pantalla de documentos emitidos en FamiEFI y tenga en cuenta el número del documento emitido más reciente, para agregar el siguiente número en este campo.</t>
        </r>
      </text>
    </comment>
    <comment ref="R7" authorId="0" shapeId="0" xr:uid="{258AB378-B794-4A9C-899F-79E17F30FC67}">
      <text>
        <r>
          <rPr>
            <b/>
            <sz val="9"/>
            <color indexed="81"/>
            <rFont val="Tahoma"/>
            <family val="2"/>
          </rPr>
          <t>Analista Junior:</t>
        </r>
        <r>
          <rPr>
            <sz val="9"/>
            <color indexed="81"/>
            <rFont val="Tahoma"/>
            <family val="2"/>
          </rPr>
          <t xml:space="preserve">
Este campo es obligatorio.</t>
        </r>
      </text>
    </comment>
    <comment ref="T7" authorId="0" shapeId="0" xr:uid="{4E667EEE-545C-4949-9A9F-BC8C6D54F93B}">
      <text>
        <r>
          <rPr>
            <b/>
            <sz val="9"/>
            <color indexed="81"/>
            <rFont val="Tahoma"/>
            <family val="2"/>
          </rPr>
          <t>Analista Junior:</t>
        </r>
        <r>
          <rPr>
            <sz val="9"/>
            <color indexed="81"/>
            <rFont val="Tahoma"/>
            <family val="2"/>
          </rPr>
          <t xml:space="preserve">
Este campo es obligatorio.</t>
        </r>
      </text>
    </comment>
    <comment ref="D11" authorId="0" shapeId="0" xr:uid="{AFC9E35E-96DE-499B-8411-54D89879F6A6}">
      <text>
        <r>
          <rPr>
            <b/>
            <sz val="9"/>
            <color indexed="81"/>
            <rFont val="Tahoma"/>
            <family val="2"/>
          </rPr>
          <t>Analista Junior:</t>
        </r>
        <r>
          <rPr>
            <sz val="9"/>
            <color indexed="81"/>
            <rFont val="Tahoma"/>
            <family val="2"/>
          </rPr>
          <t xml:space="preserve">
Este campo es obligatorio.</t>
        </r>
      </text>
    </comment>
    <comment ref="D12" authorId="0" shapeId="0" xr:uid="{13A3ADDF-ADDE-4221-A544-5303BC390147}">
      <text>
        <r>
          <rPr>
            <b/>
            <sz val="9"/>
            <color indexed="81"/>
            <rFont val="Tahoma"/>
            <family val="2"/>
          </rPr>
          <t>Analista Junior:</t>
        </r>
        <r>
          <rPr>
            <sz val="9"/>
            <color indexed="81"/>
            <rFont val="Tahoma"/>
            <family val="2"/>
          </rPr>
          <t xml:space="preserve">
Este campo es obligatorio.</t>
        </r>
      </text>
    </comment>
    <comment ref="H12" authorId="0" shapeId="0" xr:uid="{352FFD19-A1D1-4370-B507-F1F3056D7755}">
      <text>
        <r>
          <rPr>
            <b/>
            <sz val="9"/>
            <color indexed="81"/>
            <rFont val="Tahoma"/>
            <family val="2"/>
          </rPr>
          <t>Analista Junior:</t>
        </r>
        <r>
          <rPr>
            <sz val="9"/>
            <color indexed="81"/>
            <rFont val="Tahoma"/>
            <family val="2"/>
          </rPr>
          <t xml:space="preserve">
Este campo es obligatorio.</t>
        </r>
      </text>
    </comment>
    <comment ref="D13" authorId="0" shapeId="0" xr:uid="{E70DE634-13AC-47EF-A423-F9C10C4DAA8F}">
      <text>
        <r>
          <rPr>
            <b/>
            <sz val="9"/>
            <color indexed="81"/>
            <rFont val="Tahoma"/>
            <family val="2"/>
          </rPr>
          <t>Analista Junior:</t>
        </r>
        <r>
          <rPr>
            <sz val="9"/>
            <color indexed="81"/>
            <rFont val="Tahoma"/>
            <family val="2"/>
          </rPr>
          <t xml:space="preserve">
Este campo es obligatorio.</t>
        </r>
      </text>
    </comment>
    <comment ref="K13" authorId="0" shapeId="0" xr:uid="{18291FDC-36C1-4B8C-964D-97435AAEE88A}">
      <text>
        <r>
          <rPr>
            <b/>
            <sz val="9"/>
            <color indexed="81"/>
            <rFont val="Tahoma"/>
            <family val="2"/>
          </rPr>
          <t>Analista Junior:</t>
        </r>
        <r>
          <rPr>
            <sz val="9"/>
            <color indexed="81"/>
            <rFont val="Tahoma"/>
            <family val="2"/>
          </rPr>
          <t xml:space="preserve">
Este campo es obligatorio.</t>
        </r>
      </text>
    </comment>
    <comment ref="N13" authorId="0" shapeId="0" xr:uid="{494692E8-92E1-44DB-9780-D1EDC05866ED}">
      <text>
        <r>
          <rPr>
            <b/>
            <sz val="9"/>
            <color indexed="81"/>
            <rFont val="Tahoma"/>
            <family val="2"/>
          </rPr>
          <t>Analista Junior:</t>
        </r>
        <r>
          <rPr>
            <sz val="9"/>
            <color indexed="81"/>
            <rFont val="Tahoma"/>
            <family val="2"/>
          </rPr>
          <t xml:space="preserve">
Este campo es obligatorio.</t>
        </r>
      </text>
    </comment>
    <comment ref="D16" authorId="0" shapeId="0" xr:uid="{C7A4A834-6698-4592-98C5-46B9B8902848}">
      <text>
        <r>
          <rPr>
            <b/>
            <sz val="9"/>
            <color indexed="81"/>
            <rFont val="Tahoma"/>
            <family val="2"/>
          </rPr>
          <t>Analista Junior:</t>
        </r>
        <r>
          <rPr>
            <sz val="9"/>
            <color indexed="81"/>
            <rFont val="Tahoma"/>
            <family val="2"/>
          </rPr>
          <t xml:space="preserve">
Este campo es obligatorio.</t>
        </r>
      </text>
    </comment>
    <comment ref="I16" authorId="0" shapeId="0" xr:uid="{19092826-D9F7-4E54-9DF9-90C2293162DD}">
      <text>
        <r>
          <rPr>
            <b/>
            <sz val="9"/>
            <color indexed="81"/>
            <rFont val="Tahoma"/>
            <family val="2"/>
          </rPr>
          <t>Analista Junior:</t>
        </r>
        <r>
          <rPr>
            <sz val="9"/>
            <color indexed="81"/>
            <rFont val="Tahoma"/>
            <family val="2"/>
          </rPr>
          <t xml:space="preserve">
Este campo es obligatorio.</t>
        </r>
      </text>
    </comment>
    <comment ref="N16" authorId="0" shapeId="0" xr:uid="{9658A8EA-A36E-4706-8DEB-F1E0C0F0B4FC}">
      <text>
        <r>
          <rPr>
            <b/>
            <sz val="9"/>
            <color indexed="81"/>
            <rFont val="Tahoma"/>
            <family val="2"/>
          </rPr>
          <t>Analista Junior:</t>
        </r>
        <r>
          <rPr>
            <sz val="9"/>
            <color indexed="81"/>
            <rFont val="Tahoma"/>
            <family val="2"/>
          </rPr>
          <t xml:space="preserve">
Este campo es obligatorio.</t>
        </r>
      </text>
    </comment>
    <comment ref="Q16" authorId="0" shapeId="0" xr:uid="{4F94CD88-11FD-4F20-A2D7-5DBE2A6BC8AA}">
      <text>
        <r>
          <rPr>
            <b/>
            <sz val="9"/>
            <color indexed="81"/>
            <rFont val="Tahoma"/>
            <family val="2"/>
          </rPr>
          <t>Analista Junior:</t>
        </r>
        <r>
          <rPr>
            <sz val="9"/>
            <color indexed="81"/>
            <rFont val="Tahoma"/>
            <family val="2"/>
          </rPr>
          <t xml:space="preserve">
Este campo es obligatorio.</t>
        </r>
      </text>
    </comment>
    <comment ref="D17" authorId="0" shapeId="0" xr:uid="{85D25260-4B46-4297-8A3D-70D7F1209184}">
      <text>
        <r>
          <rPr>
            <b/>
            <sz val="9"/>
            <color indexed="81"/>
            <rFont val="Tahoma"/>
            <family val="2"/>
          </rPr>
          <t>Analista Junior:</t>
        </r>
        <r>
          <rPr>
            <sz val="9"/>
            <color indexed="81"/>
            <rFont val="Tahoma"/>
            <family val="2"/>
          </rPr>
          <t xml:space="preserve">
Este campo es obligatorio.</t>
        </r>
      </text>
    </comment>
    <comment ref="N17" authorId="0" shapeId="0" xr:uid="{06A9F35B-A18C-41B3-AB2C-907AE86E0956}">
      <text>
        <r>
          <rPr>
            <b/>
            <sz val="9"/>
            <color indexed="81"/>
            <rFont val="Tahoma"/>
            <family val="2"/>
          </rPr>
          <t>Analista Junior:</t>
        </r>
        <r>
          <rPr>
            <sz val="9"/>
            <color indexed="81"/>
            <rFont val="Tahoma"/>
            <family val="2"/>
          </rPr>
          <t xml:space="preserve">
Este campo es obligatorio.</t>
        </r>
      </text>
    </comment>
    <comment ref="E22" authorId="0" shapeId="0" xr:uid="{0D75263D-C995-4CB4-AE56-27C280DE7D80}">
      <text>
        <r>
          <rPr>
            <b/>
            <sz val="9"/>
            <color indexed="81"/>
            <rFont val="Tahoma"/>
            <family val="2"/>
          </rPr>
          <t>Analista Junior:</t>
        </r>
        <r>
          <rPr>
            <sz val="9"/>
            <color indexed="81"/>
            <rFont val="Tahoma"/>
            <family val="2"/>
          </rPr>
          <t xml:space="preserve">
Este campo es obligatorio.</t>
        </r>
      </text>
    </comment>
    <comment ref="F22" authorId="0" shapeId="0" xr:uid="{95A98982-2CDC-42AD-96C3-FE7C3AC12A44}">
      <text>
        <r>
          <rPr>
            <b/>
            <sz val="9"/>
            <color indexed="81"/>
            <rFont val="Tahoma"/>
            <family val="2"/>
          </rPr>
          <t>Analista Junior:</t>
        </r>
        <r>
          <rPr>
            <sz val="9"/>
            <color indexed="81"/>
            <rFont val="Tahoma"/>
            <family val="2"/>
          </rPr>
          <t xml:space="preserve">
Este campo es obligatorio.</t>
        </r>
      </text>
    </comment>
    <comment ref="G22" authorId="0" shapeId="0" xr:uid="{C85E93FE-8E89-4E86-8A75-FEFA8232D101}">
      <text>
        <r>
          <rPr>
            <b/>
            <sz val="9"/>
            <color indexed="81"/>
            <rFont val="Tahoma"/>
            <family val="2"/>
          </rPr>
          <t>Analista Junior:</t>
        </r>
        <r>
          <rPr>
            <sz val="9"/>
            <color indexed="81"/>
            <rFont val="Tahoma"/>
            <family val="2"/>
          </rPr>
          <t xml:space="preserve">
Este campo es obligatorio en caso de que esté haciendo una venta de productos.</t>
        </r>
      </text>
    </comment>
    <comment ref="H22" authorId="0" shapeId="0" xr:uid="{9E19D74F-2A79-4BFD-B247-0C248613810A}">
      <text>
        <r>
          <rPr>
            <b/>
            <sz val="9"/>
            <color indexed="81"/>
            <rFont val="Tahoma"/>
            <family val="2"/>
          </rPr>
          <t>Analista Junior:</t>
        </r>
        <r>
          <rPr>
            <sz val="9"/>
            <color indexed="81"/>
            <rFont val="Tahoma"/>
            <family val="2"/>
          </rPr>
          <t xml:space="preserve">
Este campo es obligatorio en caso de que esté haciendo una venta de productos perecederos.</t>
        </r>
      </text>
    </comment>
    <comment ref="I22" authorId="0" shapeId="0" xr:uid="{7D794253-AEC1-41CD-93DD-82B532F224E4}">
      <text>
        <r>
          <rPr>
            <b/>
            <sz val="9"/>
            <color indexed="81"/>
            <rFont val="Tahoma"/>
            <family val="2"/>
          </rPr>
          <t>Analista Junior:</t>
        </r>
        <r>
          <rPr>
            <sz val="9"/>
            <color indexed="81"/>
            <rFont val="Tahoma"/>
            <family val="2"/>
          </rPr>
          <t xml:space="preserve">
Este campo es obligatorio en caso de que esté haciendo una venta de productos perecederos.</t>
        </r>
      </text>
    </comment>
    <comment ref="J22" authorId="0" shapeId="0" xr:uid="{B9A6C66E-D257-4DD8-8C5A-F642952F465B}">
      <text>
        <r>
          <rPr>
            <b/>
            <sz val="9"/>
            <color indexed="81"/>
            <rFont val="Tahoma"/>
            <family val="2"/>
          </rPr>
          <t>Analista Junior:</t>
        </r>
        <r>
          <rPr>
            <sz val="9"/>
            <color indexed="81"/>
            <rFont val="Tahoma"/>
            <family val="2"/>
          </rPr>
          <t xml:space="preserve">
Si va a facturar servicios, agregue junto con la descripción de cada uno, el periodo facturado (fecha inicial - fecha final) en esta columna.</t>
        </r>
      </text>
    </comment>
    <comment ref="K22" authorId="0" shapeId="0" xr:uid="{BDEDF809-A4F4-43CB-8C60-BD5575CF8C14}">
      <text>
        <r>
          <rPr>
            <b/>
            <sz val="9"/>
            <color indexed="81"/>
            <rFont val="Tahoma"/>
            <family val="2"/>
          </rPr>
          <t>Analista Junior:</t>
        </r>
        <r>
          <rPr>
            <sz val="9"/>
            <color indexed="81"/>
            <rFont val="Tahoma"/>
            <family val="2"/>
          </rPr>
          <t xml:space="preserve">
Este campo es obligatorio.</t>
        </r>
      </text>
    </comment>
    <comment ref="L22" authorId="0" shapeId="0" xr:uid="{52D57C45-8755-40D0-A92F-7AEFF69ECDEE}">
      <text>
        <r>
          <rPr>
            <b/>
            <sz val="9"/>
            <color indexed="81"/>
            <rFont val="Tahoma"/>
            <family val="2"/>
          </rPr>
          <t>Analista Junior:</t>
        </r>
        <r>
          <rPr>
            <sz val="9"/>
            <color indexed="81"/>
            <rFont val="Tahoma"/>
            <family val="2"/>
          </rPr>
          <t xml:space="preserve">
Este campo es obligatorio.</t>
        </r>
      </text>
    </comment>
    <comment ref="M22" authorId="0" shapeId="0" xr:uid="{AB71CB23-B779-42F1-804D-A9AC156FECA3}">
      <text>
        <r>
          <rPr>
            <b/>
            <sz val="9"/>
            <color indexed="81"/>
            <rFont val="Tahoma"/>
            <family val="2"/>
          </rPr>
          <t>Analista Junior:</t>
        </r>
        <r>
          <rPr>
            <sz val="9"/>
            <color indexed="81"/>
            <rFont val="Tahoma"/>
            <family val="2"/>
          </rPr>
          <t xml:space="preserve">
Este campo es obligatorio.</t>
        </r>
      </text>
    </comment>
    <comment ref="S22" authorId="0" shapeId="0" xr:uid="{740309B1-E216-4BA7-9C1F-71C6A2A1B468}">
      <text>
        <r>
          <rPr>
            <b/>
            <sz val="9"/>
            <color indexed="81"/>
            <rFont val="Tahoma"/>
            <family val="2"/>
          </rPr>
          <t>Analista Junior:</t>
        </r>
        <r>
          <rPr>
            <sz val="9"/>
            <color indexed="81"/>
            <rFont val="Tahoma"/>
            <family val="2"/>
          </rPr>
          <t xml:space="preserve">
Este campo es obligatorio.</t>
        </r>
      </text>
    </comment>
    <comment ref="T22" authorId="0" shapeId="0" xr:uid="{191DD8A2-F289-4E4C-88DA-19BC687C519D}">
      <text>
        <r>
          <rPr>
            <b/>
            <sz val="9"/>
            <color indexed="81"/>
            <rFont val="Tahoma"/>
            <family val="2"/>
          </rPr>
          <t>Analista Junior:</t>
        </r>
        <r>
          <rPr>
            <sz val="9"/>
            <color indexed="81"/>
            <rFont val="Tahoma"/>
            <family val="2"/>
          </rPr>
          <t xml:space="preserve">
Este campo es obligatorio.</t>
        </r>
      </text>
    </comment>
    <comment ref="H83" authorId="0" shapeId="0" xr:uid="{83AD55C4-DAED-44A9-8980-1E402136B1A2}">
      <text>
        <r>
          <rPr>
            <b/>
            <sz val="9"/>
            <color indexed="81"/>
            <rFont val="Tahoma"/>
            <family val="2"/>
          </rPr>
          <t>Analista Junior:</t>
        </r>
        <r>
          <rPr>
            <sz val="9"/>
            <color indexed="81"/>
            <rFont val="Tahoma"/>
            <family val="2"/>
          </rPr>
          <t xml:space="preserve">
Este campo es obligatorio.</t>
        </r>
      </text>
    </comment>
    <comment ref="H84" authorId="0" shapeId="0" xr:uid="{0F71EDDD-5192-452C-9BFB-4B7C07C3FB31}">
      <text>
        <r>
          <rPr>
            <b/>
            <sz val="9"/>
            <color indexed="81"/>
            <rFont val="Tahoma"/>
            <family val="2"/>
          </rPr>
          <t>Analista Junior:</t>
        </r>
        <r>
          <rPr>
            <sz val="9"/>
            <color indexed="81"/>
            <rFont val="Tahoma"/>
            <family val="2"/>
          </rPr>
          <t xml:space="preserve">
Este campo es obligatorio.</t>
        </r>
      </text>
    </comment>
  </commentList>
</comments>
</file>

<file path=xl/sharedStrings.xml><?xml version="1.0" encoding="utf-8"?>
<sst xmlns="http://schemas.openxmlformats.org/spreadsheetml/2006/main" count="7079" uniqueCount="2960">
  <si>
    <t>Tipo de documento (obligatorio)</t>
  </si>
  <si>
    <t>Tipo de contribuyente (obligatorio)</t>
  </si>
  <si>
    <t>Responsabilidad fiscal (obligatorio)</t>
  </si>
  <si>
    <t>Retefuente</t>
  </si>
  <si>
    <t>Kg</t>
  </si>
  <si>
    <t>Venta</t>
  </si>
  <si>
    <t>Valor venta</t>
  </si>
  <si>
    <t>Total valor venta</t>
  </si>
  <si>
    <t>Total IVA</t>
  </si>
  <si>
    <t>Total venta</t>
  </si>
  <si>
    <t>Total descuento</t>
  </si>
  <si>
    <t>NIT</t>
  </si>
  <si>
    <t>O-1 Aporte especial para la administración de justicia</t>
  </si>
  <si>
    <t>O-2 Gravamen a los movimientos financieros</t>
  </si>
  <si>
    <t>O-3 Impuesto al patrimonio</t>
  </si>
  <si>
    <t>O-4 Impuesto de renta y complementario régimen especial</t>
  </si>
  <si>
    <t>O-5 Impuesto de renta y complementario régimen ordinario</t>
  </si>
  <si>
    <t>O-6 Ingresos y patrimonio</t>
  </si>
  <si>
    <t>O-7 Retención en la fuente a título de renta</t>
  </si>
  <si>
    <t>O-8 Retención timbre nacional</t>
  </si>
  <si>
    <t>O-9 Retención en la fuente en el impuesto sobre las ventas</t>
  </si>
  <si>
    <t>O-10 Usuario aduanero</t>
  </si>
  <si>
    <t>O-13 Gran contribuyente</t>
  </si>
  <si>
    <t>O-14 Informante de exógena</t>
  </si>
  <si>
    <t>O-15 Autorretenedor</t>
  </si>
  <si>
    <t>O-16 Obligación a facturar por ingresos bienes y/o servicios excluidos</t>
  </si>
  <si>
    <t>O-17 Profesionales de compra y venta de divisas</t>
  </si>
  <si>
    <t>O-18 Precios de transferencia</t>
  </si>
  <si>
    <t>O-19 Productor de bienes y/o servicios exentos (incluye exportadores)</t>
  </si>
  <si>
    <t>O-20 Obtención NIT Dto. 3050 de 1997 (Art. 3o)</t>
  </si>
  <si>
    <t>O-21 Declarar ingreso o salida del país de divisas o moneda legal</t>
  </si>
  <si>
    <t>O-22 Obligado a cumplir deberes formales a nombre de terceros</t>
  </si>
  <si>
    <t>O-23 Agente de retención en el impuesto sobre las ventas</t>
  </si>
  <si>
    <t>O-24 Declaración consolidada precios de transferencia</t>
  </si>
  <si>
    <t>O-26 Declaración individual precios de transferencia</t>
  </si>
  <si>
    <t>O-32 Impuesto Nacional a la Gasolina y al ACPM</t>
  </si>
  <si>
    <t>O-33 Impuesto nacional al consumo</t>
  </si>
  <si>
    <t>O-36 Establecimiento permanente</t>
  </si>
  <si>
    <t>O-37 Obligados a facturar electrónicamente</t>
  </si>
  <si>
    <t>O-38 Factura electrónica voluntaria</t>
  </si>
  <si>
    <t>O-39 Proveedor de Servicios Tecnológicos PST</t>
  </si>
  <si>
    <t>O-41 Declaración anual de activos en el exterior </t>
  </si>
  <si>
    <t>O-42 Obligado a Llevar Contabilidad</t>
  </si>
  <si>
    <t>O-45 Autorretenedor de rendimientos financieros</t>
  </si>
  <si>
    <t>O-46 IVA prestadores de servicio desde el exterior</t>
  </si>
  <si>
    <t>O-47 Régimen simple de tributación SIMPLE</t>
  </si>
  <si>
    <t>O-48 Impuesto sobre las ventas IVA</t>
  </si>
  <si>
    <t>O-49 No responsable de IVA</t>
  </si>
  <si>
    <t>O-50 No responsable de consumo restaurantes y bares</t>
  </si>
  <si>
    <t>O-51 Agente de retención impoconsumo de bienes inmuebles</t>
  </si>
  <si>
    <t>O-52 Facturador Electrónico</t>
  </si>
  <si>
    <t>+Agregar producto</t>
  </si>
  <si>
    <t xml:space="preserve">FECHA DE EMISION </t>
  </si>
  <si>
    <t xml:space="preserve">HORA DE EMISION </t>
  </si>
  <si>
    <t xml:space="preserve">FECHA DE VENCIMIENTO </t>
  </si>
  <si>
    <t>TELÉFONO</t>
  </si>
  <si>
    <t xml:space="preserve">DIRECCION </t>
  </si>
  <si>
    <t>CÓDIGO POSTAL</t>
  </si>
  <si>
    <t xml:space="preserve">ENCARGADO DE COMPRA </t>
  </si>
  <si>
    <t>Número</t>
  </si>
  <si>
    <t xml:space="preserve">Costo de envío </t>
  </si>
  <si>
    <t>Impuesto</t>
  </si>
  <si>
    <t>Base</t>
  </si>
  <si>
    <t>Tarifa</t>
  </si>
  <si>
    <t>Valor</t>
  </si>
  <si>
    <t>Impuestos</t>
  </si>
  <si>
    <t>01 IVA</t>
  </si>
  <si>
    <t>02 IVA</t>
  </si>
  <si>
    <t>Retenciones</t>
  </si>
  <si>
    <t>06 Retefuente</t>
  </si>
  <si>
    <t>07 ReteICA</t>
  </si>
  <si>
    <t xml:space="preserve">Reteica </t>
  </si>
  <si>
    <t xml:space="preserve">Reteiva </t>
  </si>
  <si>
    <t>TOTAL</t>
  </si>
  <si>
    <t>FACTURA DE VENTA</t>
  </si>
  <si>
    <t>Enero</t>
  </si>
  <si>
    <t>Febrero</t>
  </si>
  <si>
    <t>Marzo</t>
  </si>
  <si>
    <t>Abril</t>
  </si>
  <si>
    <t>Mayo</t>
  </si>
  <si>
    <t>Junio</t>
  </si>
  <si>
    <t>Julio</t>
  </si>
  <si>
    <t>Agosto</t>
  </si>
  <si>
    <t>Septiembre</t>
  </si>
  <si>
    <t>Octubre</t>
  </si>
  <si>
    <t>Noviembre</t>
  </si>
  <si>
    <t>Diciembre</t>
  </si>
  <si>
    <t>Meses</t>
  </si>
  <si>
    <t>Hora</t>
  </si>
  <si>
    <t xml:space="preserve">TIPO DE DOCUMENTO ENCARGADO DE COMPRA </t>
  </si>
  <si>
    <t xml:space="preserve">NÚMERO DE DOCUMENTO ENCARGADO DE COMPRA </t>
  </si>
  <si>
    <t>1</t>
  </si>
  <si>
    <t>10</t>
  </si>
  <si>
    <t>11</t>
  </si>
  <si>
    <t>12</t>
  </si>
  <si>
    <t>13</t>
  </si>
  <si>
    <t>14</t>
  </si>
  <si>
    <t>15</t>
  </si>
  <si>
    <t>16</t>
  </si>
  <si>
    <t>17</t>
  </si>
  <si>
    <t>18</t>
  </si>
  <si>
    <t>19</t>
  </si>
  <si>
    <t>Compra de:</t>
  </si>
  <si>
    <t>Compra de</t>
  </si>
  <si>
    <t>Productos</t>
  </si>
  <si>
    <t>Servicios</t>
  </si>
  <si>
    <t>Productos y Servicios</t>
  </si>
  <si>
    <t>Persona Natural</t>
  </si>
  <si>
    <t>Persona Jurídica</t>
  </si>
  <si>
    <t>Tarifas IVA</t>
  </si>
  <si>
    <t>No grabado</t>
  </si>
  <si>
    <t>Excluido</t>
  </si>
  <si>
    <t>Excento</t>
  </si>
  <si>
    <t>Tarifas impoconsumo</t>
  </si>
  <si>
    <t>GUARDAR</t>
  </si>
  <si>
    <t>BORRAR DATOS</t>
  </si>
  <si>
    <t>01</t>
  </si>
  <si>
    <t>02</t>
  </si>
  <si>
    <t>03</t>
  </si>
  <si>
    <t>00</t>
  </si>
  <si>
    <t>04</t>
  </si>
  <si>
    <t>05</t>
  </si>
  <si>
    <t>06</t>
  </si>
  <si>
    <t>07</t>
  </si>
  <si>
    <t>08</t>
  </si>
  <si>
    <t>09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</si>
  <si>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</si>
  <si>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</si>
  <si>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</si>
  <si>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</si>
  <si>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</si>
  <si>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</si>
  <si>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</si>
  <si>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</si>
  <si>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</si>
  <si>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</si>
  <si>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</si>
  <si>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</si>
  <si>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</si>
  <si>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</si>
  <si>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</si>
  <si>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</si>
  <si>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</si>
  <si>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</si>
  <si>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</si>
  <si>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</si>
  <si>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</si>
  <si>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</si>
  <si>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</si>
  <si>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</si>
  <si>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</si>
  <si>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</si>
  <si>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</si>
  <si>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</si>
  <si>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</si>
  <si>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</si>
  <si>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</si>
  <si>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</si>
  <si>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</si>
  <si>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</si>
  <si>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</si>
  <si>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</si>
  <si>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</si>
  <si>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</si>
  <si>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</si>
  <si>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</si>
  <si>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Día</t>
  </si>
  <si>
    <t xml:space="preserve">Mes </t>
  </si>
  <si>
    <t>Año</t>
  </si>
  <si>
    <t xml:space="preserve">Hora  </t>
  </si>
  <si>
    <t>Mínutos</t>
  </si>
  <si>
    <t>Segundos</t>
  </si>
  <si>
    <t xml:space="preserve">ENCARGADO DE LA VENTA </t>
  </si>
  <si>
    <t xml:space="preserve">TIPO DE DOCUMENTO ENCARGADO DE LA VENTA </t>
  </si>
  <si>
    <t xml:space="preserve">NÚMERO DE DOCUMENTO ENCARGADO DE LA VENTA </t>
  </si>
  <si>
    <t>Seleccione la cuenta contable a la que quiere asociar esta factura:</t>
  </si>
  <si>
    <t>PLAN UNICO DE CUENTAS PARA COMERCIANTES DECRETO 2649 DE 1993</t>
  </si>
  <si>
    <t xml:space="preserve">CODIGO </t>
  </si>
  <si>
    <t>NOMBRE O DENOMINACION</t>
  </si>
  <si>
    <t>CLASIFICACION</t>
  </si>
  <si>
    <t>CLASE</t>
  </si>
  <si>
    <t>GRUPO</t>
  </si>
  <si>
    <t>CUENTA</t>
  </si>
  <si>
    <t>SUBCUENTA</t>
  </si>
  <si>
    <t>BANCO 1</t>
  </si>
  <si>
    <t>CUENTA AUXILIAR</t>
  </si>
  <si>
    <t>BANCO 2</t>
  </si>
  <si>
    <t xml:space="preserve">126001 a 126098 </t>
  </si>
  <si>
    <t/>
  </si>
  <si>
    <t xml:space="preserve">132801 a 132898 </t>
  </si>
  <si>
    <t xml:space="preserve">133201 a 133298 </t>
  </si>
  <si>
    <t xml:space="preserve">138501 a 138598 </t>
  </si>
  <si>
    <t xml:space="preserve">139001 a 139098 </t>
  </si>
  <si>
    <t xml:space="preserve">140501 a 140598 </t>
  </si>
  <si>
    <t xml:space="preserve">141001 a 141098 </t>
  </si>
  <si>
    <t xml:space="preserve">141501 a 141598 </t>
  </si>
  <si>
    <t xml:space="preserve">141701 a 141798 </t>
  </si>
  <si>
    <t xml:space="preserve">142001 a 142098 </t>
  </si>
  <si>
    <t xml:space="preserve">142501 a 142598 </t>
  </si>
  <si>
    <t xml:space="preserve">143501 a 143598 </t>
  </si>
  <si>
    <t xml:space="preserve">144001 a 144098 </t>
  </si>
  <si>
    <t xml:space="preserve">146001 a 146098 </t>
  </si>
  <si>
    <t xml:space="preserve">146501 a 146598 </t>
  </si>
  <si>
    <t xml:space="preserve">152001 a 152098 </t>
  </si>
  <si>
    <t xml:space="preserve">156001 a 156098 </t>
  </si>
  <si>
    <t xml:space="preserve">156201 a 156298 </t>
  </si>
  <si>
    <t xml:space="preserve">157601 a 157698 </t>
  </si>
  <si>
    <t xml:space="preserve">158001 a 158098 </t>
  </si>
  <si>
    <t xml:space="preserve">163001 a 163098 </t>
  </si>
  <si>
    <t xml:space="preserve">163501 a 163598 </t>
  </si>
  <si>
    <t xml:space="preserve">169901 a 169998 </t>
  </si>
  <si>
    <t xml:space="preserve">173001 a 173098 </t>
  </si>
  <si>
    <t xml:space="preserve">213001 a 213098 </t>
  </si>
  <si>
    <t xml:space="preserve">214001 a 214098 </t>
  </si>
  <si>
    <t xml:space="preserve">220501 a 220598 </t>
  </si>
  <si>
    <t xml:space="preserve">221001 a 221098 </t>
  </si>
  <si>
    <t xml:space="preserve">221501 a 221598 </t>
  </si>
  <si>
    <t xml:space="preserve">222001 a 222098 </t>
  </si>
  <si>
    <t xml:space="preserve">222501 a 222598 </t>
  </si>
  <si>
    <t xml:space="preserve">230501 a 230598 </t>
  </si>
  <si>
    <t xml:space="preserve">231001 a 231098 </t>
  </si>
  <si>
    <t xml:space="preserve">231501 a 231598 </t>
  </si>
  <si>
    <t xml:space="preserve">232001 a 232098 </t>
  </si>
  <si>
    <t xml:space="preserve">233001 a 233098 </t>
  </si>
  <si>
    <t xml:space="preserve">234001 a 234098 </t>
  </si>
  <si>
    <t xml:space="preserve">234501 a 234598 </t>
  </si>
  <si>
    <t xml:space="preserve">235001 a 235098 </t>
  </si>
  <si>
    <t xml:space="preserve">237501 a 237598 </t>
  </si>
  <si>
    <t xml:space="preserve">240801 a 240898 </t>
  </si>
  <si>
    <t xml:space="preserve">241601 a 241698 </t>
  </si>
  <si>
    <t xml:space="preserve">242001 a 242098 </t>
  </si>
  <si>
    <t xml:space="preserve">242801 a 242898 </t>
  </si>
  <si>
    <t xml:space="preserve">243201 a 243298 </t>
  </si>
  <si>
    <t xml:space="preserve">244001 a 244098 </t>
  </si>
  <si>
    <t xml:space="preserve">244801 a 244898 </t>
  </si>
  <si>
    <t xml:space="preserve">245201 a 245298 </t>
  </si>
  <si>
    <t xml:space="preserve">245601 a 245698 </t>
  </si>
  <si>
    <t xml:space="preserve">246001 a 246098 </t>
  </si>
  <si>
    <t xml:space="preserve">246801 a 246898 </t>
  </si>
  <si>
    <t xml:space="preserve">247201 a 247298 </t>
  </si>
  <si>
    <t xml:space="preserve">247601 a 247698 </t>
  </si>
  <si>
    <t xml:space="preserve">249501 a 249598 </t>
  </si>
  <si>
    <t xml:space="preserve">250501 a 250598 </t>
  </si>
  <si>
    <t xml:space="preserve">251501 a 251598 </t>
  </si>
  <si>
    <t xml:space="preserve">252001 a 252098 </t>
  </si>
  <si>
    <t xml:space="preserve">252501 a 252598 </t>
  </si>
  <si>
    <t xml:space="preserve">253201 a 253298 </t>
  </si>
  <si>
    <t xml:space="preserve">253501 a 253598 </t>
  </si>
  <si>
    <t xml:space="preserve">254001 a 244098 </t>
  </si>
  <si>
    <t xml:space="preserve">264001 a 264098 </t>
  </si>
  <si>
    <t xml:space="preserve">271501 a 271598 </t>
  </si>
  <si>
    <t xml:space="preserve">272001 a 272098 </t>
  </si>
  <si>
    <t xml:space="preserve">282001 a 282098 </t>
  </si>
  <si>
    <t xml:space="preserve">284001 a 284098 </t>
  </si>
  <si>
    <t xml:space="preserve">291001 a 291098 </t>
  </si>
  <si>
    <t xml:space="preserve">291501 a 291598 </t>
  </si>
  <si>
    <t xml:space="preserve">312001 a 312098 </t>
  </si>
  <si>
    <t xml:space="preserve">312501 a 312598 </t>
  </si>
  <si>
    <t xml:space="preserve">313001 a 313098 </t>
  </si>
  <si>
    <t xml:space="preserve">313501 a 313598 </t>
  </si>
  <si>
    <t xml:space="preserve">314001 a 314098 </t>
  </si>
  <si>
    <t xml:space="preserve">321501 a 321598 </t>
  </si>
  <si>
    <t xml:space="preserve">341001 a 341098 </t>
  </si>
  <si>
    <t xml:space="preserve">341501 a 341598 </t>
  </si>
  <si>
    <t xml:space="preserve">350501 a 350598 </t>
  </si>
  <si>
    <t xml:space="preserve">351001 a 351098 </t>
  </si>
  <si>
    <t xml:space="preserve">370501 a 370598 </t>
  </si>
  <si>
    <t xml:space="preserve">371001 a 371098 </t>
  </si>
  <si>
    <t xml:space="preserve">417501 a 417598 </t>
  </si>
  <si>
    <t xml:space="preserve">426001 a 426098 </t>
  </si>
  <si>
    <t xml:space="preserve">426501 a 426598 </t>
  </si>
  <si>
    <t xml:space="preserve">427501 a 427598 </t>
  </si>
  <si>
    <t xml:space="preserve">527001 a 527098 </t>
  </si>
  <si>
    <t xml:space="preserve">620501 a 620598 </t>
  </si>
  <si>
    <t xml:space="preserve">621001 a 621098 </t>
  </si>
  <si>
    <t xml:space="preserve">621501 a 621598 </t>
  </si>
  <si>
    <t xml:space="preserve">622001 a 622098 </t>
  </si>
  <si>
    <t xml:space="preserve">622501 a 622598 </t>
  </si>
  <si>
    <t xml:space="preserve">7101 a 7199 </t>
  </si>
  <si>
    <t xml:space="preserve">710101 a 719999 </t>
  </si>
  <si>
    <t xml:space="preserve">7201 a 7299 </t>
  </si>
  <si>
    <t xml:space="preserve">720101 a 729999 </t>
  </si>
  <si>
    <t xml:space="preserve">7301 a 7399 </t>
  </si>
  <si>
    <t xml:space="preserve">730101 a 739999 </t>
  </si>
  <si>
    <t xml:space="preserve">7401 a 7499 </t>
  </si>
  <si>
    <t xml:space="preserve">740101 a 749999 </t>
  </si>
  <si>
    <t xml:space="preserve">812501 a 812599 </t>
  </si>
  <si>
    <t xml:space="preserve">8201 a 8299 </t>
  </si>
  <si>
    <t xml:space="preserve">820101 a 829999 </t>
  </si>
  <si>
    <t xml:space="preserve">833501 a 833599 </t>
  </si>
  <si>
    <t xml:space="preserve">8401 a 8499 </t>
  </si>
  <si>
    <t xml:space="preserve">840101 a 849999 </t>
  </si>
  <si>
    <t xml:space="preserve">8501 a 8599 </t>
  </si>
  <si>
    <t xml:space="preserve">850101 a 859999 </t>
  </si>
  <si>
    <t xml:space="preserve">8601 a 8699 </t>
  </si>
  <si>
    <t xml:space="preserve">860101 a 869999 </t>
  </si>
  <si>
    <t xml:space="preserve">912501 a 912599 </t>
  </si>
  <si>
    <t xml:space="preserve">913001 a 913099 </t>
  </si>
  <si>
    <t xml:space="preserve">913501 a 913599 </t>
  </si>
  <si>
    <t xml:space="preserve">919501 a 919599 </t>
  </si>
  <si>
    <t xml:space="preserve">9201 a 9299 </t>
  </si>
  <si>
    <t xml:space="preserve">920101 a 929999 </t>
  </si>
  <si>
    <t xml:space="preserve">9401 a 9499 </t>
  </si>
  <si>
    <t xml:space="preserve">940101 a 949999 </t>
  </si>
  <si>
    <t xml:space="preserve">9501 a 9599 </t>
  </si>
  <si>
    <t xml:space="preserve">950101 a 959999 </t>
  </si>
  <si>
    <t xml:space="preserve">9601 a 9699 </t>
  </si>
  <si>
    <t xml:space="preserve">960101 a 969999 </t>
  </si>
  <si>
    <t>ACTIVO</t>
  </si>
  <si>
    <t>DISPONIBLE</t>
  </si>
  <si>
    <t>CAJA</t>
  </si>
  <si>
    <t>CAJA GENERAL</t>
  </si>
  <si>
    <t>CAJAS MENORES</t>
  </si>
  <si>
    <t>MONEDA EXTRANJERA</t>
  </si>
  <si>
    <t>BANCOS</t>
  </si>
  <si>
    <t>MONEDA NACIONAL</t>
  </si>
  <si>
    <t>REMESAS EN TRANSITO</t>
  </si>
  <si>
    <t>CUENTAS DE AHORRO</t>
  </si>
  <si>
    <t>CORPORACIONES DE AHORRO Y VIVIENDA</t>
  </si>
  <si>
    <t>INVERSIONES</t>
  </si>
  <si>
    <t>ACCIONES</t>
  </si>
  <si>
    <t>CUOTAS O PARTES DE INTERES SOCIAL</t>
  </si>
  <si>
    <t>BONOS</t>
  </si>
  <si>
    <t>OTROS</t>
  </si>
  <si>
    <t>CEDULAS</t>
  </si>
  <si>
    <t>CEDULAS DE CAPITALIZACION</t>
  </si>
  <si>
    <t>CEDULAS HIPOTECARIAS</t>
  </si>
  <si>
    <t>CEDULAS DE INVERSION</t>
  </si>
  <si>
    <t>OTRAS</t>
  </si>
  <si>
    <t>CERTIFICADOS</t>
  </si>
  <si>
    <t>CERTIFICADOS DE DEPOSITO A TERMINO (C.D.T.)</t>
  </si>
  <si>
    <t>CERTIFICADOS DE DEPOSITO DE AHORRO</t>
  </si>
  <si>
    <t>CERTIFICADOS DE AHORRO DE VALOR CONSTANTE (C.A.V.C.)</t>
  </si>
  <si>
    <t>CERTIFICADOS DE CAMBIO</t>
  </si>
  <si>
    <t>CERTIFICADOS CAFETEROS VALORIZABLES</t>
  </si>
  <si>
    <t>CERTIFICADOS ELECTRICOS VALORIZABLES (C.E.V.)</t>
  </si>
  <si>
    <t>CERTIFICADOS DE REEMBOLSO TRIBUTARIO (C.E.R.T.)</t>
  </si>
  <si>
    <t>CERTIFICADOS DE DESARROLLO TURISTICO</t>
  </si>
  <si>
    <t>CERTIFICADOS DE INVERSION FORESTAL (C.I.F.)</t>
  </si>
  <si>
    <t>PAPELES COMERCIALES</t>
  </si>
  <si>
    <t>EMPRESAS COMERCIALES</t>
  </si>
  <si>
    <t>EMPRESAS INDUSTRIALES</t>
  </si>
  <si>
    <t>EMPRESAS DE SERVICIOS</t>
  </si>
  <si>
    <t>TITULOS</t>
  </si>
  <si>
    <t>TITULOS DE DESARROLLO AGROPECUARIO</t>
  </si>
  <si>
    <t>TITULOS CANJEABLES POR CERTIFICADOS DE CAMBIO</t>
  </si>
  <si>
    <t>TITULOS DE TESORERIA (T.E.S.)</t>
  </si>
  <si>
    <t>TITULOS DE PARTICIPACION</t>
  </si>
  <si>
    <t>TITULOS DE CREDITO DE FOMENTO</t>
  </si>
  <si>
    <t>TITULOS FINANCIEROS AGROINDUSTRIALES (T.F.A.)</t>
  </si>
  <si>
    <t>TITULOS DE AHORRO CAFETERO (T.A.C.)</t>
  </si>
  <si>
    <t>TITULOS DE AHORRO NACIONAL (T.A.N.)</t>
  </si>
  <si>
    <t>TITULOS ENERGETICOS DE RENTABILIDAD CRECIENTE (T.E.R.)</t>
  </si>
  <si>
    <t>TITULOS DE AHORRO EDUCATIVO (T.A.E.)</t>
  </si>
  <si>
    <t>TITULOS FINANCIEROS INDUSTRIALES Y COMERCIALES</t>
  </si>
  <si>
    <t>TESOROS</t>
  </si>
  <si>
    <t>TITULOS DE DEVOLUCION DE IMPUESTOS NACIONALES (TIDIS)</t>
  </si>
  <si>
    <t>TITULOS INMOBILIARIOS</t>
  </si>
  <si>
    <t>ACEPTACIONES BANCARIAS O FINANCIERAS</t>
  </si>
  <si>
    <t>BANCOS COMERCIALES</t>
  </si>
  <si>
    <t>COMPAÑIAS DE FINANCIAMIENTO COMERCIAL</t>
  </si>
  <si>
    <t>CORPORACIONES FINANCIERAS</t>
  </si>
  <si>
    <t>DERECHOS FIDUCIARIOS</t>
  </si>
  <si>
    <t>FIDEICOMISOS DE INVERSION MONEDA NACIONAL</t>
  </si>
  <si>
    <t>FIDEICOMISOS DE INVERSION MONEDA EXTRANJERA</t>
  </si>
  <si>
    <t>DERECHOS DE RECOMPRA DE INVERSIONES NEGOCIADAS (REPOS)</t>
  </si>
  <si>
    <t>ACEPTACIONES BANCARIAS O FINANCIERAS 125095 OTROS</t>
  </si>
  <si>
    <t>AJUSTES POR INFLACION</t>
  </si>
  <si>
    <t>OBLIGATORIAS</t>
  </si>
  <si>
    <t>BONOS DE FINANCIAMIENTO ESPECIAL</t>
  </si>
  <si>
    <t>BONOS DE FINANCIAMIENTO PRESUPUESTAL</t>
  </si>
  <si>
    <t>BONOS PARA DESARROLLO SOCIAL Y SEGURIDAD INTERNA (B.D.S.I.)</t>
  </si>
  <si>
    <t>CUENTAS EN PARTICIPACION</t>
  </si>
  <si>
    <t>OTRAS INVERSIONES</t>
  </si>
  <si>
    <t>APORTES EN COOPERATIVAS</t>
  </si>
  <si>
    <t>DERECHOS EN CLUBES SOCIALES</t>
  </si>
  <si>
    <t>ACCIONES O DERECHOS EN CLUBES DEPORTIVOS</t>
  </si>
  <si>
    <t>BONOS EN COLEGIOS</t>
  </si>
  <si>
    <t>DIVERSAS</t>
  </si>
  <si>
    <t>PROVISIONES</t>
  </si>
  <si>
    <t>DERECHOS DE RECOMPRA DE INVERSIONES NEGOCIADAS</t>
  </si>
  <si>
    <t>DEUDORES</t>
  </si>
  <si>
    <t>CLIENTES</t>
  </si>
  <si>
    <t>NACIONALES</t>
  </si>
  <si>
    <t>DEL EXTERIOR</t>
  </si>
  <si>
    <t>DEUDORES DEL SISTEMA</t>
  </si>
  <si>
    <t>CUENTAS CORRIENTES COMERCIALES</t>
  </si>
  <si>
    <t>CASA MATRIZ</t>
  </si>
  <si>
    <t>COMPAÑIAS VINCULADAS</t>
  </si>
  <si>
    <t>ACCIONISTAS O SOCIOS</t>
  </si>
  <si>
    <t>PARTICULARES</t>
  </si>
  <si>
    <t>CUENTAS POR COBRAR A CASA MATRIZ</t>
  </si>
  <si>
    <t>VENTAS</t>
  </si>
  <si>
    <t>PAGOS A NOMBRE DE CASA MATRIZ</t>
  </si>
  <si>
    <t>VALORES RECIBIDOS POR CASA MATRIZ</t>
  </si>
  <si>
    <t>PRESTAMOS</t>
  </si>
  <si>
    <t>CUENTAS POR COBRAR A VINCULADOS ECONOMICOS</t>
  </si>
  <si>
    <t>FILIALES</t>
  </si>
  <si>
    <t>SUBSIDIARIAS</t>
  </si>
  <si>
    <t>SUCURSALES</t>
  </si>
  <si>
    <t>CUENTA S POR COBRAR A SOCIOS Y ACCIONISTAS</t>
  </si>
  <si>
    <t>A SOCIOS</t>
  </si>
  <si>
    <t>A ACCIONISTAS</t>
  </si>
  <si>
    <t>APORTES POR COBRAR</t>
  </si>
  <si>
    <t>ANTICIPOS Y AVANCES</t>
  </si>
  <si>
    <t>A PROVEEDORES</t>
  </si>
  <si>
    <t>A CONTRATISTAS</t>
  </si>
  <si>
    <t>A TRABAJADORES</t>
  </si>
  <si>
    <t>A AGENTES</t>
  </si>
  <si>
    <t>A CONCESIONARIOS</t>
  </si>
  <si>
    <t>DE ADJUDICACIONES</t>
  </si>
  <si>
    <t>CUENTAS DE OPERACION CONJUNTA</t>
  </si>
  <si>
    <t>DEPOSITOS</t>
  </si>
  <si>
    <t>PARA IMPORTACIONES</t>
  </si>
  <si>
    <t>PARA SERVICIOS</t>
  </si>
  <si>
    <t>PARA CONTRATOS</t>
  </si>
  <si>
    <t>PARA RESPONSABILIDADES</t>
  </si>
  <si>
    <t>PARA JUICIOS EJECUTIVOS</t>
  </si>
  <si>
    <t>PARA ADQUISICION DE ACCIONES, CUOTAS O DERECHOS SOCIALES</t>
  </si>
  <si>
    <t>EN GARANTIA</t>
  </si>
  <si>
    <t>PROMESAS DE COMPRA VENTA</t>
  </si>
  <si>
    <t>DE BIENES RAICES</t>
  </si>
  <si>
    <t>DE MAQUINARIA Y EQUIPO</t>
  </si>
  <si>
    <t>DE FLOTA Y EQUIPO DE TRANSPORTE</t>
  </si>
  <si>
    <t>DE FLOTA Y EQUIPO AEREO</t>
  </si>
  <si>
    <t>DE FLOTA Y EQUIPO FERREO</t>
  </si>
  <si>
    <t>DE FLOTA Y EQUIPO FLUVIAL Y/O MARITIMO</t>
  </si>
  <si>
    <t>DE SEMOVIENTES</t>
  </si>
  <si>
    <t>DE OTROS BIENES</t>
  </si>
  <si>
    <t>INGRESOS POR COBRAR</t>
  </si>
  <si>
    <t>DIVIDENDOS Y/O PARTICIPACIONES</t>
  </si>
  <si>
    <t>INTERESES</t>
  </si>
  <si>
    <t>COMISIONES</t>
  </si>
  <si>
    <t>HONORARIOS</t>
  </si>
  <si>
    <t>SERVICIOS</t>
  </si>
  <si>
    <t>ARRENDAMIENTOS</t>
  </si>
  <si>
    <t>CERT POR COBRAR</t>
  </si>
  <si>
    <t>RETENCION SOBRE CONTRATOS</t>
  </si>
  <si>
    <t>DE CONSTRUCCION</t>
  </si>
  <si>
    <t>DE PRESTACION DE SERVICIOS</t>
  </si>
  <si>
    <t>ANTICIPO DE IMPUESTOS Y CONTRIBUCIONES O SALDOS A FAVOR</t>
  </si>
  <si>
    <t>ANTICIPO DE IMPUESTOS DE RENTA Y COMPLEMENTARIOS</t>
  </si>
  <si>
    <t>ANTICIPO DE IMPUESTOS DE INDUSTRIA Y COMERCIO</t>
  </si>
  <si>
    <t>RETENCION EN LA FUENTE</t>
  </si>
  <si>
    <t>SOBRANTES EN LIQUIDACION PRIVADA DE IMPUESTOS</t>
  </si>
  <si>
    <t>CONTRIBUCIONES</t>
  </si>
  <si>
    <t>IMPUESTOS DESCONTABLES</t>
  </si>
  <si>
    <t>RECLAMACIONES</t>
  </si>
  <si>
    <t>A COMPAÑIAS ASEGURADORAS</t>
  </si>
  <si>
    <t>A TRANSPORTADORES</t>
  </si>
  <si>
    <t>POR TIQUETES AEREOS</t>
  </si>
  <si>
    <t>CUENTAS POR COBRAR A TRABAJADORES</t>
  </si>
  <si>
    <t>VIVIENDA</t>
  </si>
  <si>
    <t>VEHICULOS</t>
  </si>
  <si>
    <t>EDUCACION</t>
  </si>
  <si>
    <t>MEDICOS, ODONTOLOGICOS Y SIMILARES</t>
  </si>
  <si>
    <t>CALAMIDAD DOMESTICA</t>
  </si>
  <si>
    <t>RESPONSABILIDADES</t>
  </si>
  <si>
    <t>PRESTAMOS A PARTICULARES</t>
  </si>
  <si>
    <t>CON GARANTIA REAL</t>
  </si>
  <si>
    <t>CON GARANTIA PERSONAL</t>
  </si>
  <si>
    <t>DEUDORES VARIOS</t>
  </si>
  <si>
    <t>DEPOSITARIOS</t>
  </si>
  <si>
    <t>COMISIONISTAS DE BOLSAS</t>
  </si>
  <si>
    <t>FONDO DE INVERSION</t>
  </si>
  <si>
    <t>CUENTAS POR COBRAR DE TERCEROS</t>
  </si>
  <si>
    <t>PAGOS POR CUENTA DE TERCEROS</t>
  </si>
  <si>
    <t>FONDOS DE INVERSION SOCIAL</t>
  </si>
  <si>
    <t>DERECHOS DE RECOMPRA DE CARTERA NEGOCIADA</t>
  </si>
  <si>
    <t>DEUDAS DE DIFICIL COBRO</t>
  </si>
  <si>
    <t>CUENTAS POR COBRAR A SOCIOS Y ACCIONISTAS</t>
  </si>
  <si>
    <t>PROMESAS DE COMPRAVENTA</t>
  </si>
  <si>
    <t>INVENTARIOS</t>
  </si>
  <si>
    <t>MATERIAS PRIMAS</t>
  </si>
  <si>
    <t>PRODUCTOS EN PROCESO</t>
  </si>
  <si>
    <t>OBRAS DE CONSTRUCCION EN CURSO</t>
  </si>
  <si>
    <t>OBRAS DE URBANISMO</t>
  </si>
  <si>
    <t>CONTRATOS EN EJECUCION</t>
  </si>
  <si>
    <t>CULTIVOS EN DESARROLLO</t>
  </si>
  <si>
    <t>PRODUCTOS TERMINADOS</t>
  </si>
  <si>
    <t>PRODUCTOS MANUFACTURADOS</t>
  </si>
  <si>
    <t>PRODUCTOS EXTRAIDOS Y/O PROCESADOS</t>
  </si>
  <si>
    <t>PRODUCTOS AGRICOLAS Y FORESTALES</t>
  </si>
  <si>
    <t>SUBPRODUCTOS</t>
  </si>
  <si>
    <t>PRODUCTOS DE PESCA</t>
  </si>
  <si>
    <t>MERCANCIAS NO FABRICADAS POR LA EMPRESA</t>
  </si>
  <si>
    <t>BIENES RAICES PARA LA VENTA</t>
  </si>
  <si>
    <t>SEMOVIENTES</t>
  </si>
  <si>
    <t>ESPECIES MAYORES</t>
  </si>
  <si>
    <t>ESPECIES MENORES</t>
  </si>
  <si>
    <t>TERRENOS</t>
  </si>
  <si>
    <t>POR URBANIZAR</t>
  </si>
  <si>
    <t>URBANIZADOS POR CONSTRUIR</t>
  </si>
  <si>
    <t>MATERIALES, REPUESTOS Y ACCESORIOS</t>
  </si>
  <si>
    <t>COMBUSTIBLES Y LUBRICANTES</t>
  </si>
  <si>
    <t>ABONOS Y FERTILIZANTES</t>
  </si>
  <si>
    <t>SEMILLAS TERMINADAS</t>
  </si>
  <si>
    <t>FUNGICIDAS Y HERBICIDAS</t>
  </si>
  <si>
    <t>MATERIALES Y REPUESTOS</t>
  </si>
  <si>
    <t>LOZA Y CRISTALERIA</t>
  </si>
  <si>
    <t>HERRAMIENTAS</t>
  </si>
  <si>
    <t>MEDICINAS</t>
  </si>
  <si>
    <t>ELEMENTOS HOSPITALARIOS</t>
  </si>
  <si>
    <t>INSTRUMENTAL QUIRURGICO</t>
  </si>
  <si>
    <t>DOTACION Y SUMINISTRO A TRABAJADORES</t>
  </si>
  <si>
    <t>ELEMENTOS DE ROPERIA Y LENCERIA</t>
  </si>
  <si>
    <t>ENVASES Y EMPAQUES</t>
  </si>
  <si>
    <t>INVENTARIOS EN TRANSITO</t>
  </si>
  <si>
    <t>PARA OBSOLESCENCIA</t>
  </si>
  <si>
    <t>PARA DIFERENCIA DE INVENTARIO FISICO</t>
  </si>
  <si>
    <t>PARA PERDIDAS DE INVENTARIOS</t>
  </si>
  <si>
    <t>LIFO</t>
  </si>
  <si>
    <t>PROPIEDADES PLANTA Y EQUIPO</t>
  </si>
  <si>
    <t>URBANOS</t>
  </si>
  <si>
    <t>RURALES</t>
  </si>
  <si>
    <t>MATERIALES PROYECTOS PETROLEROS</t>
  </si>
  <si>
    <t>TUBERIAS Y EQUIPO</t>
  </si>
  <si>
    <t>COSTOS DE IMPORTACION MATERIALES</t>
  </si>
  <si>
    <t>PROYECTOS DE CONSTRUCCION</t>
  </si>
  <si>
    <t>CONSTRUCCIONES EN CURSO</t>
  </si>
  <si>
    <t>CONSTRUCCIONES Y EDIFICACIONES</t>
  </si>
  <si>
    <t>ACUEDUCTOS PLANTAS Y REDES</t>
  </si>
  <si>
    <t>VIAS DE COMUNICACION</t>
  </si>
  <si>
    <t>POZOS ARTESIANOS</t>
  </si>
  <si>
    <t>PROYECTOS DE EXPLORACION</t>
  </si>
  <si>
    <t>PROYECTOS DE DESARROLLO</t>
  </si>
  <si>
    <t>MAQUINARIA Y EQUIPOS EN MONTAJE</t>
  </si>
  <si>
    <t>MAQUINARIA Y EQUIPO</t>
  </si>
  <si>
    <t>EQUIPO DE OFICINA</t>
  </si>
  <si>
    <t>EQUIPO DE COMPUTACION Y COMUNICACION</t>
  </si>
  <si>
    <t>EQUIPO MEDICO-CIENTIFICO</t>
  </si>
  <si>
    <t>EQUIPO DE HOTELES Y RESTAURANTES</t>
  </si>
  <si>
    <t>FLOTA Y EQUIPO DE TRANSPORTE</t>
  </si>
  <si>
    <t>FLOTA Y EQUIPO FLUVIAL Y/O MARITIMO</t>
  </si>
  <si>
    <t>FLOTA Y EQUIPO AEREO</t>
  </si>
  <si>
    <t>FLOTA Y EQUIPO FERREO</t>
  </si>
  <si>
    <t>PLANTAS Y REDES</t>
  </si>
  <si>
    <t>EDIFICIOS</t>
  </si>
  <si>
    <t>OFICINAS</t>
  </si>
  <si>
    <t>ALMACENES</t>
  </si>
  <si>
    <t>FABRICAS Y PLANTAS INDUSTRIALES</t>
  </si>
  <si>
    <t>SALAS DE EXHIBICION Y VENTAS</t>
  </si>
  <si>
    <t>CAFETERIA Y CASINOS</t>
  </si>
  <si>
    <t>SILOS</t>
  </si>
  <si>
    <t>INVERNADEROS</t>
  </si>
  <si>
    <t>CASETAS Y CAMPAMENTOS</t>
  </si>
  <si>
    <t>INSTALACIONES AGROPECUARIAS</t>
  </si>
  <si>
    <t>VIVIENDAS PARA EMPLEADOS Y OBREROS</t>
  </si>
  <si>
    <t>TERMINAL DE BUSES Y TAXIS</t>
  </si>
  <si>
    <t>TERMINAL MARITIMO</t>
  </si>
  <si>
    <t>TERMINAL FERREO</t>
  </si>
  <si>
    <t>PARQUEADEROS, GARAJES Y DEPOSITOS</t>
  </si>
  <si>
    <t>HANGARES</t>
  </si>
  <si>
    <t>BODEGAS</t>
  </si>
  <si>
    <t>MUEBLES Y ENSERES</t>
  </si>
  <si>
    <t>EQUIPOS</t>
  </si>
  <si>
    <t>EQUIPOS DE PROCESAMIENTO DE DATOS</t>
  </si>
  <si>
    <t>EQUIPOS DE TELECOMUNICACIONES</t>
  </si>
  <si>
    <t>EQUIPOS DE RADIO</t>
  </si>
  <si>
    <t>SATELITES Y ANTENAS</t>
  </si>
  <si>
    <t>LINEAS TELEFONICAS</t>
  </si>
  <si>
    <t>EQUIPO MEDICO - CIENTIFICO</t>
  </si>
  <si>
    <t>MEDICO</t>
  </si>
  <si>
    <t>ODONTOLOGICO</t>
  </si>
  <si>
    <t>LABORATORIO</t>
  </si>
  <si>
    <t>INSTRUMENTAL</t>
  </si>
  <si>
    <t>DE HABITACIONES</t>
  </si>
  <si>
    <t>DE COMESTIBLES Y BEBIDAS</t>
  </si>
  <si>
    <t>AUTOS, CAMIONETAS Y CAMPEROS</t>
  </si>
  <si>
    <t>CAMIONES, VOLQUETAS Y FURGONES</t>
  </si>
  <si>
    <t>TRACTOMULAS Y REMOLQUES</t>
  </si>
  <si>
    <t>BUSES Y BUSETAS</t>
  </si>
  <si>
    <t>RECOLECTORES Y CONTENEDORES</t>
  </si>
  <si>
    <t>MONTACARGAS</t>
  </si>
  <si>
    <t>PALAS Y GRUAS</t>
  </si>
  <si>
    <t>MOTOCICLETAS</t>
  </si>
  <si>
    <t>BICICLETAS</t>
  </si>
  <si>
    <t>ESTIBAS Y CARRETAS</t>
  </si>
  <si>
    <t>BANDAS TRANSPORTADORAS</t>
  </si>
  <si>
    <t>BUQUES</t>
  </si>
  <si>
    <t>LANCHAS</t>
  </si>
  <si>
    <t>REMOLCADORAS</t>
  </si>
  <si>
    <t>BOTES</t>
  </si>
  <si>
    <t>BOYAS</t>
  </si>
  <si>
    <t>AMARRES</t>
  </si>
  <si>
    <t>CONTENEDORES Y CHASSISES</t>
  </si>
  <si>
    <t>GABARRAS</t>
  </si>
  <si>
    <t>AVIONES</t>
  </si>
  <si>
    <t>AVIONETAS</t>
  </si>
  <si>
    <t>HELICOPTEROS</t>
  </si>
  <si>
    <t>TURBINAS Y MOTORES</t>
  </si>
  <si>
    <t>MANUALES DE ENTRENAMIENTO PERSONAL TECNICO</t>
  </si>
  <si>
    <t>EQUIPOS DE VUELO</t>
  </si>
  <si>
    <t>LOCOMOTORAS</t>
  </si>
  <si>
    <t>VAGONES</t>
  </si>
  <si>
    <t>REDES FERREAS</t>
  </si>
  <si>
    <t>INSTALACIONES PARA AGUA Y ENERGIA</t>
  </si>
  <si>
    <t>ACUEDUCTO ACEQUIAS Y CANALIZACIONES</t>
  </si>
  <si>
    <t>PLANTAS DE GENERACION HIDRAULICA</t>
  </si>
  <si>
    <t>PLANTAS DE GENERACION TERMICA</t>
  </si>
  <si>
    <t>PLANTAS DE GENERACION A GAS</t>
  </si>
  <si>
    <t>PLANTAS DE GENERACION DIESEL, GASOLINA Y PETROLEO</t>
  </si>
  <si>
    <t>PLANTAS DE DISTRIBUCION</t>
  </si>
  <si>
    <t>PLANTAS DE TRANSMISION Y SUBESTACIONES</t>
  </si>
  <si>
    <t>OLEODUCTOS</t>
  </si>
  <si>
    <t>GASODUCTOS</t>
  </si>
  <si>
    <t>POLIDUCTOS</t>
  </si>
  <si>
    <t>REDES DE DISTRIBUCION</t>
  </si>
  <si>
    <t>PLANTAS DE TRATAMIENTO</t>
  </si>
  <si>
    <t>REDES DE RECOLECCION DE AGUAS NEGRAS</t>
  </si>
  <si>
    <t>INSTALACIONES Y EQUIPO DE BOMBEO</t>
  </si>
  <si>
    <t>REDES DE DISTRIBUCION DE VAPOR</t>
  </si>
  <si>
    <t>REDES DE AIRE</t>
  </si>
  <si>
    <t>REDES ALIMENTACION DE GAS</t>
  </si>
  <si>
    <t>REDES EXTERNAS DE TELEFONIA</t>
  </si>
  <si>
    <t>PLANTAS DESHIDRATADORAS</t>
  </si>
  <si>
    <t>ARMAMENTO DE VIGILANCIA</t>
  </si>
  <si>
    <t>PLANTACIONES AGRICOLAS Y FORESTALES</t>
  </si>
  <si>
    <t>CULTIVOS AMORTIZABLES</t>
  </si>
  <si>
    <t>PAVIMENTACION Y PATIOS</t>
  </si>
  <si>
    <t>VIAS</t>
  </si>
  <si>
    <t>PUENTES</t>
  </si>
  <si>
    <t>CALLES</t>
  </si>
  <si>
    <t>AERODROMOS</t>
  </si>
  <si>
    <t>MINAS Y CANTERAS</t>
  </si>
  <si>
    <t>MINAS</t>
  </si>
  <si>
    <t>CANTERAS</t>
  </si>
  <si>
    <t>YACIMIENTOS</t>
  </si>
  <si>
    <t>PROPIEDADES PLANTA Y EQUIPO EN TRANSITO</t>
  </si>
  <si>
    <t>EQUIPO MEDICO CIENTIFICO</t>
  </si>
  <si>
    <t>DEPRECIACION ACUMULADA</t>
  </si>
  <si>
    <t>DEPRECIACION DIFERIDA</t>
  </si>
  <si>
    <t>EXCESO FISCAL SOBRE LA CONTABLE</t>
  </si>
  <si>
    <t>DEFECTO FISCAL SOBRE LA CONTABLE (CR)</t>
  </si>
  <si>
    <t>AMORTIZACION ACUMULADA</t>
  </si>
  <si>
    <t>AGOTAMIENTO ACUMULADO</t>
  </si>
  <si>
    <t>MAQUINARIA EN MONTAJE</t>
  </si>
  <si>
    <t>ACUEDUCTOS, PLANTAS Y REDES</t>
  </si>
  <si>
    <t>INTANGIBLES</t>
  </si>
  <si>
    <t>CREDITO MERCANTIL</t>
  </si>
  <si>
    <t>FORMADO O ESTIMADO</t>
  </si>
  <si>
    <t>ADQUIRIDO O COMPRADO</t>
  </si>
  <si>
    <t>MARCAS</t>
  </si>
  <si>
    <t>ADQUIRIDAS</t>
  </si>
  <si>
    <t>FORMADAS</t>
  </si>
  <si>
    <t>PATENTES</t>
  </si>
  <si>
    <t>CONCESIONES Y FRANQUICIAS</t>
  </si>
  <si>
    <t>CONCESIONES</t>
  </si>
  <si>
    <t>FRANQUICIAS</t>
  </si>
  <si>
    <t>DERECHOS</t>
  </si>
  <si>
    <t>DERECHOS DE AUTOR</t>
  </si>
  <si>
    <t>PUESTO DE BOLSA</t>
  </si>
  <si>
    <t>EN FIDEICOMISOS INMOBILIARIOS</t>
  </si>
  <si>
    <t>EN FIDEICOMISOS DE GARANTIA</t>
  </si>
  <si>
    <t>EN FIDEICOMISOS DE ADMINISTRACION</t>
  </si>
  <si>
    <t>KNOW HOW</t>
  </si>
  <si>
    <t>LICENCIAS</t>
  </si>
  <si>
    <t>DIFERIDOS</t>
  </si>
  <si>
    <t>GASTOS PAGADOS POR ANTICIPADO</t>
  </si>
  <si>
    <t>SEGUROS Y FIANZAS</t>
  </si>
  <si>
    <t>BODEGAJES</t>
  </si>
  <si>
    <t>MANTENIMIENTO EQUIPOS</t>
  </si>
  <si>
    <t>SUSCRIPCIONES</t>
  </si>
  <si>
    <t>CARGOS DIFERIDOS</t>
  </si>
  <si>
    <t>ORGANIZACION Y PREOPERATIVOS</t>
  </si>
  <si>
    <t>REMODELACIONES</t>
  </si>
  <si>
    <t>ESTUDIOS, INVESTIGACIONES Y PROYECTOS</t>
  </si>
  <si>
    <t>PROGRAMAS PARA COMPUTADOR (SOFTWARE)</t>
  </si>
  <si>
    <t>UTILES Y PAPELERIA</t>
  </si>
  <si>
    <t>MEJORAS A PROPIEDADES AJENAS</t>
  </si>
  <si>
    <t>CONTRIBUCIONES Y AFILIACIONES</t>
  </si>
  <si>
    <t>ENTRENAMIENTO DE PERSONAL</t>
  </si>
  <si>
    <t>FERIAS Y EXPOSICIONES</t>
  </si>
  <si>
    <t>PUBLICIDAD, PROPAGANDA Y AVISOS</t>
  </si>
  <si>
    <t>ELEMENTOS DE ASEO Y CAFETERIA</t>
  </si>
  <si>
    <t>MOLDES Y TROQUELES</t>
  </si>
  <si>
    <t>DESCUENTO EN COLOCACION DE BONOS</t>
  </si>
  <si>
    <t>IMPUESTO DE RENTA DIFERIDO "DEBITOS" POR DIFERENCIAS TEMPORALES</t>
  </si>
  <si>
    <t>CONCURSOS Y LICITACIONES</t>
  </si>
  <si>
    <t>COSTOS DE EXPLORACION POR AMORTIZAR</t>
  </si>
  <si>
    <t>POZOS SECOS</t>
  </si>
  <si>
    <t>POZOS NO COMERCIALES</t>
  </si>
  <si>
    <t>OTROS COSTOS DE EXPLORACION</t>
  </si>
  <si>
    <t>COSTOS DE EXPLOTACION Y DESARROLLO</t>
  </si>
  <si>
    <t>PERFORACION Y EXPLOTACION</t>
  </si>
  <si>
    <t>PERFORACIONES CAMPOS EN DESARROLLO</t>
  </si>
  <si>
    <t>FACILIDADES DE PRODUCCION</t>
  </si>
  <si>
    <t>SERVICIO A POZOS</t>
  </si>
  <si>
    <t>CARGOS POR CORRECCION MONETARIA DIFERIDA</t>
  </si>
  <si>
    <t>OTROS ACTIVOS</t>
  </si>
  <si>
    <t>BIENES DE ARTE Y CULTURA</t>
  </si>
  <si>
    <t>OBRAS DE ARTE</t>
  </si>
  <si>
    <t>BIBLIOTECAS</t>
  </si>
  <si>
    <t>DIVERSOS</t>
  </si>
  <si>
    <t>MAQUINAS PORTEADORAS</t>
  </si>
  <si>
    <t>BIENES ENTREGADOS EN COMODATO</t>
  </si>
  <si>
    <t>AMORTIZACION ACUMULADA DE BIENES ENTREGADOS EN COMODATO (CR)</t>
  </si>
  <si>
    <t>BIENES RECIBIDOS EN PAGO</t>
  </si>
  <si>
    <t>DERECHOS SUCESORALES</t>
  </si>
  <si>
    <t>ESTAMPILLAS</t>
  </si>
  <si>
    <t>VALORIZACIONES</t>
  </si>
  <si>
    <t>DE INVERSIONES</t>
  </si>
  <si>
    <t>DE PROPIEDADES PLANTA Y EQUIPO</t>
  </si>
  <si>
    <t>DE OTROS ACTIVOS</t>
  </si>
  <si>
    <t>INVENTARIO DE SEMOVIENTES</t>
  </si>
  <si>
    <t>PASIVO</t>
  </si>
  <si>
    <t>OBLIGACIONES FINANCIERAS</t>
  </si>
  <si>
    <t>BANCOS NACIONALES</t>
  </si>
  <si>
    <t>SOBREGIROS</t>
  </si>
  <si>
    <t>PAGARES</t>
  </si>
  <si>
    <t>CARTAS DE CREDITO</t>
  </si>
  <si>
    <t>ACEPTACIONES BANCARIAS</t>
  </si>
  <si>
    <t>BANCOS DEL EXTERIOR</t>
  </si>
  <si>
    <t>ACEPTACIONES FINANCIERAS</t>
  </si>
  <si>
    <t>HIPOTECARIAS</t>
  </si>
  <si>
    <t>ENTIDADES FINANCIERAS DEL EXTERIOR</t>
  </si>
  <si>
    <t>COMPROMISOS DE RECOMPRA DE INVERSIONES NEGOCIADAS</t>
  </si>
  <si>
    <t>COMPROMISOS DE RECOMPRA DE CARTERA NEGOCIADA</t>
  </si>
  <si>
    <t>OBLIGACIONES GUBERNAMENTALES</t>
  </si>
  <si>
    <t>GOBIERNO NACIONAL</t>
  </si>
  <si>
    <t>ENTIDADES OFICIALES</t>
  </si>
  <si>
    <t>OTRAS OBLIGACIONES</t>
  </si>
  <si>
    <t>SOCIOS O ACCIONISTAS</t>
  </si>
  <si>
    <t>FONDOS Y COOPERATIVAS</t>
  </si>
  <si>
    <t>PROVEEDORES</t>
  </si>
  <si>
    <t>CUENTAS POR PAGAR</t>
  </si>
  <si>
    <t>A CASA MATRIZ</t>
  </si>
  <si>
    <t>A COMPAÑIAS VINCULADAS</t>
  </si>
  <si>
    <t>ORDENES DE COMPRA POR UTILIZAR</t>
  </si>
  <si>
    <t>COSTOS Y GASTOS POR PAGAR</t>
  </si>
  <si>
    <t>GASTOS FINANCIEROS</t>
  </si>
  <si>
    <t>GASTOS LEGALES</t>
  </si>
  <si>
    <t>LIBROS, SUSCRIPCIONES, PERIODICOS Y REVISTAS</t>
  </si>
  <si>
    <t>SERVICIOS TECNICOS</t>
  </si>
  <si>
    <t>SERVICIOS DE MANTENIMIENTO</t>
  </si>
  <si>
    <t>TRANSPORTES, FLETES Y ACARREOS</t>
  </si>
  <si>
    <t>SERVICIOS PUBLICOS</t>
  </si>
  <si>
    <t>SEGUROS</t>
  </si>
  <si>
    <t>GASTOS DE VIAJE</t>
  </si>
  <si>
    <t>GASTOS DE REPRESENTACION Y RELACIONES PUBLICAS</t>
  </si>
  <si>
    <t>SERVICIOS ADUANEROS</t>
  </si>
  <si>
    <t>INSTALAMENTOS POR PAGAR</t>
  </si>
  <si>
    <t>ACREEDORES OFICIALES</t>
  </si>
  <si>
    <t>REGALIAS POR PAGAR</t>
  </si>
  <si>
    <t>DEUDAS CON ACCIONISTAS O SOCIOS</t>
  </si>
  <si>
    <t>ACCIONISTAS</t>
  </si>
  <si>
    <t>SOCIOS</t>
  </si>
  <si>
    <t>DIVIDENDOS O PARTICIPACIONES POR PAGAR</t>
  </si>
  <si>
    <t>DIVIDENDOS</t>
  </si>
  <si>
    <t>PARTICIPACIONES</t>
  </si>
  <si>
    <t>SALARIOS Y PAGOS LABORALES</t>
  </si>
  <si>
    <t>RENDIMIENTOS FINANCIEROS</t>
  </si>
  <si>
    <t>COMPRAS</t>
  </si>
  <si>
    <t>LOTERIAS, RIFAS, APUESTAS Y SIMILARES</t>
  </si>
  <si>
    <t>POR PAGOS AL EXTERIOR</t>
  </si>
  <si>
    <t>POR INGRESOS OBTENIDOS EN EL EXTERIOR</t>
  </si>
  <si>
    <t>ENAJENACION PROPIEDADES PLANTA Y EQUIPO PERSONAS NATURALES</t>
  </si>
  <si>
    <t>POR IMPUESTO DE TIMBRE</t>
  </si>
  <si>
    <t>OTRAS RETENCIONES Y PATRIMONIO</t>
  </si>
  <si>
    <t>AUTORRETENCIONES</t>
  </si>
  <si>
    <t>RETENCIONES Y APORTES DE NOMINA</t>
  </si>
  <si>
    <t>APORTES AL I.S.S.</t>
  </si>
  <si>
    <t>APORTES AL I.C.B.F., SENA Y CAJAS DE COMPENSACION</t>
  </si>
  <si>
    <t>APORTES AL F.I.C.</t>
  </si>
  <si>
    <t>EMBARGOS JUDICIALES</t>
  </si>
  <si>
    <t>LIBRANZAS</t>
  </si>
  <si>
    <t>SINDICATOS</t>
  </si>
  <si>
    <t>COOPERATIVAS</t>
  </si>
  <si>
    <t>FONDOS</t>
  </si>
  <si>
    <t>CUOTAS POR DEVOLVER</t>
  </si>
  <si>
    <t>ACREEDORES VARIOS</t>
  </si>
  <si>
    <t>SOCIEDAD ADMINISTRADORA - FONDOS DE INVERSION</t>
  </si>
  <si>
    <t>REINTEGROS POR PAGAR</t>
  </si>
  <si>
    <t>FONDO DE PERSEVERANCIA</t>
  </si>
  <si>
    <t>FONDOS DE CESANTIAS Y/O PENSIONES</t>
  </si>
  <si>
    <t>DONACIONES ASIGNADAS POR PAGAR</t>
  </si>
  <si>
    <t>IMPUESTOS, GRAVAMENES Y TASAS</t>
  </si>
  <si>
    <t>DE RENTA Y COMPLEMENTARIOS</t>
  </si>
  <si>
    <t>VIGENCIA FISCAL CORRIENTE</t>
  </si>
  <si>
    <t>VIGENCIAS FISCALES ANTERIORES</t>
  </si>
  <si>
    <t>IMPUESTO SOBRE LAS VENTAS POR PAGAR</t>
  </si>
  <si>
    <t>DE INDUSTRIA Y COMERCIO</t>
  </si>
  <si>
    <t>A LA PROPIEDAD RAIZ</t>
  </si>
  <si>
    <t>DERECHOS SOBRE INSTRUMENTOS PUBLICOS</t>
  </si>
  <si>
    <t>DE VALORIZACION</t>
  </si>
  <si>
    <t>DE TURISMO</t>
  </si>
  <si>
    <t>TASA POR UTILIZACION DE PUERTOS</t>
  </si>
  <si>
    <t>DE VEHICULOS</t>
  </si>
  <si>
    <t>DE ESPECTACULOS PUBLICOS</t>
  </si>
  <si>
    <t>DE HIDROCARBUROS Y MINAS</t>
  </si>
  <si>
    <t>DE HIDROCARBUROS</t>
  </si>
  <si>
    <t>DE MINAS</t>
  </si>
  <si>
    <t>REGALIAS E IMPUESTOS A LA PEQUEÑA Y MEDIANA MINERIA</t>
  </si>
  <si>
    <t>A LAS EXPORTACIONES CAFETERAS</t>
  </si>
  <si>
    <t>A LAS IMPORTACIONES</t>
  </si>
  <si>
    <t>CUOTAS DE FOMENTO</t>
  </si>
  <si>
    <t>DE LICORES, CERVEZAS Y CIGARRILLOS</t>
  </si>
  <si>
    <t>DE LICORES</t>
  </si>
  <si>
    <t>DE CERVEZAS</t>
  </si>
  <si>
    <t>DE CIGARRILLOS</t>
  </si>
  <si>
    <t>AL SACRIFICIO DE GANADO</t>
  </si>
  <si>
    <t>AL AZAR Y JUEGOS</t>
  </si>
  <si>
    <t>GRAVAMENES Y REGALIAS POR UTILIZACION DEL SUELO</t>
  </si>
  <si>
    <t>OBLIGACIONES LABORALES</t>
  </si>
  <si>
    <t>SALARIOS POR PAGAR</t>
  </si>
  <si>
    <t>CESANTIAS CONSOLIDADAS</t>
  </si>
  <si>
    <t>LEY LABORAL ANTERIOR</t>
  </si>
  <si>
    <t>LEY 50 DE 1990 Y NORMAS POSTERIORES</t>
  </si>
  <si>
    <t>INTERESES SOBRE CESANTIAS</t>
  </si>
  <si>
    <t>PRIMA DE SERVICIOS</t>
  </si>
  <si>
    <t>VACACIONES CONSOLIDADAS</t>
  </si>
  <si>
    <t>PRESTACIONES EXTRALEGALES</t>
  </si>
  <si>
    <t>PRIMAS</t>
  </si>
  <si>
    <t>AUXILIOS</t>
  </si>
  <si>
    <t>BONIFICACIONES</t>
  </si>
  <si>
    <t>PENSIONES POR PAGAR</t>
  </si>
  <si>
    <t>CUOTAS PARTES PENSIONES DE JUBILACION</t>
  </si>
  <si>
    <t>INDEMNIZACIONES LABORALES</t>
  </si>
  <si>
    <t>PASIVOS ESTIMADOS Y PROVISIONES</t>
  </si>
  <si>
    <t>PARA COSTOS Y GASTOS</t>
  </si>
  <si>
    <t>REGALIAS</t>
  </si>
  <si>
    <t>GARANTIAS</t>
  </si>
  <si>
    <t>PARA OBLIGACIONES LABORALES</t>
  </si>
  <si>
    <t>CESANTIAS</t>
  </si>
  <si>
    <t>VACACIONES</t>
  </si>
  <si>
    <t>VIATICOS</t>
  </si>
  <si>
    <t>PARA OBLIGACIONES FISCALES</t>
  </si>
  <si>
    <t>PENSIONES DE JUBILACION</t>
  </si>
  <si>
    <t>CALCULO ACTUARIAL PENSIONES DE JUBILACION</t>
  </si>
  <si>
    <t>PENSIONES DE JUBILACION POR AMORTIZAR (DB)</t>
  </si>
  <si>
    <t>PARA OBRAS DE URBANISMO</t>
  </si>
  <si>
    <t>ACUEDUCTO Y ALCANTARILLADO</t>
  </si>
  <si>
    <t>ENERGIA ELECTRICA</t>
  </si>
  <si>
    <t>TELEFONOS</t>
  </si>
  <si>
    <t>PARA MANTENIMIENTO Y REPARACIONES</t>
  </si>
  <si>
    <t>VIAS DE CUMUNICACION</t>
  </si>
  <si>
    <t>PARA CONTINGENCIAS</t>
  </si>
  <si>
    <t>MULTAS Y SANCIONES AUTORIDADES ADMINISTRATIVAS</t>
  </si>
  <si>
    <t>INTERESES POR MULTAS Y SANCIONES</t>
  </si>
  <si>
    <t>RECLAMOS</t>
  </si>
  <si>
    <t>LABORALES</t>
  </si>
  <si>
    <t>CIVILES</t>
  </si>
  <si>
    <t>PENALES</t>
  </si>
  <si>
    <t>ADMINISTRATIVOS</t>
  </si>
  <si>
    <t>COMERCIALES</t>
  </si>
  <si>
    <t>PARA OBLIGACIONES DE GARANTIAS</t>
  </si>
  <si>
    <t>PROVISIONES DIVERSAS</t>
  </si>
  <si>
    <t>PARA BENEFICENCIA</t>
  </si>
  <si>
    <t>PARA COMUNICACIONES</t>
  </si>
  <si>
    <t>PARA PERDIDA EN TRANSPORTE</t>
  </si>
  <si>
    <t>PARA OPERACION</t>
  </si>
  <si>
    <t>PARA PROTECCION DE BIENES AGOTABLES</t>
  </si>
  <si>
    <t>PARA AJUSTES EN REDENCION DE UNIDADES</t>
  </si>
  <si>
    <t>AUTOSEGURO</t>
  </si>
  <si>
    <t>PLANES Y PROGRAMAS DE REFORESTACION Y ELECTRIFICACION</t>
  </si>
  <si>
    <t>INGRESOS RECIBIDOS POR ANTICIPADO</t>
  </si>
  <si>
    <t>DE SUSCRIPTORES</t>
  </si>
  <si>
    <t>MERCANCIA EN TRANSITO YA VENDIDA</t>
  </si>
  <si>
    <t>MATRICULAS Y PENSIONES</t>
  </si>
  <si>
    <t>CUOTAS DE ADMINISTRACION</t>
  </si>
  <si>
    <t>ABONOS DIFERIDOS</t>
  </si>
  <si>
    <t>REAJUSTE DEL SISTEMA</t>
  </si>
  <si>
    <t>UTILIDAD DIFERIDA EN VENTAS A PLAZOS</t>
  </si>
  <si>
    <t>CREDITO POR CORRECCION MONETARIA DIFERIDA</t>
  </si>
  <si>
    <t>IMPUESTOS DIFERIDOS</t>
  </si>
  <si>
    <t>POR DEPRECIACION FLEXIBLE</t>
  </si>
  <si>
    <t>OTROS PASIVOS</t>
  </si>
  <si>
    <t>ANTICIPOS Y AVANCES RECIBIDOS</t>
  </si>
  <si>
    <t>DE CLIENTES</t>
  </si>
  <si>
    <t>SOBRE CONTRATOS</t>
  </si>
  <si>
    <t>PARA OBRAS EN PROCESO</t>
  </si>
  <si>
    <t>DEPOSITOS RECIBIDOS</t>
  </si>
  <si>
    <t>PARA FUTURA SUSCRIPCION DE ACCIONES</t>
  </si>
  <si>
    <t>PARA FUTURO PAGO DE CUOTAS O DERECHOS SOCIALES</t>
  </si>
  <si>
    <t>PARA GARANTIA EN LA PRESTACION DE SERVICIOS</t>
  </si>
  <si>
    <t>PARA GARANTIA DE CONTRATOS</t>
  </si>
  <si>
    <t>DE LICITACIONES</t>
  </si>
  <si>
    <t>DE MANEJO DE BIENES</t>
  </si>
  <si>
    <t>FONDO DE RESERVA</t>
  </si>
  <si>
    <t>INGRESOS RECIBIDOS PARA TERCEROS</t>
  </si>
  <si>
    <t>VALORES RECIBIDOS PARA TERCEROS</t>
  </si>
  <si>
    <t>VENTA POR CUENTA DE TERCEROS</t>
  </si>
  <si>
    <t>RETENCIONES A TERCEROS SOBRE CONTRATOS</t>
  </si>
  <si>
    <t>CUMPLIMIENTO OBLIGACIONES LABORALES</t>
  </si>
  <si>
    <t>PARA ESTABILIDAD DE OBRA</t>
  </si>
  <si>
    <t>GARANTIA CUMPLIMIENTO DE CONTRATOS</t>
  </si>
  <si>
    <t>INDEMNIZACIONES</t>
  </si>
  <si>
    <t>DEPOSITOS JUDICIALES</t>
  </si>
  <si>
    <t>ACREEDORES DEL SISTEMA</t>
  </si>
  <si>
    <t>CUOTAS NETAS</t>
  </si>
  <si>
    <t>GRUPOS EN FORMACION</t>
  </si>
  <si>
    <t>PRESTAMOS DE PRODUCTOS</t>
  </si>
  <si>
    <t>REEMBOLSO DE COSTOS EXPLORATORIOS</t>
  </si>
  <si>
    <t>PROGRAMA DE EXTENSION AGROPECUARIA</t>
  </si>
  <si>
    <t>BONOS Y PAPELES COMERCIALES</t>
  </si>
  <si>
    <t>BONOS EN CIRCULACION</t>
  </si>
  <si>
    <t>GARANTIA GENERAL</t>
  </si>
  <si>
    <t>GARANTIA ESPECIFICA</t>
  </si>
  <si>
    <t>BONOS OBLIGATORIAMENTE CONVERTIBLES EN ACCIONES</t>
  </si>
  <si>
    <t>PATRIMONIO</t>
  </si>
  <si>
    <t>CAPITAL SOCIAL</t>
  </si>
  <si>
    <t>CAPITAL SUSCRITO Y PAGADO</t>
  </si>
  <si>
    <t>CAPITAL AUTORIZADO</t>
  </si>
  <si>
    <t>CAPITAL POR SUSCRIBIR (DB)</t>
  </si>
  <si>
    <t>CAPITAL SUSCRITO POR COBRAR (DB)</t>
  </si>
  <si>
    <t>ACCIONES, CUOTAS O PARTES DE INTERES SOCIAL PROPIAS READQUIRIDAS (DB)</t>
  </si>
  <si>
    <t>ACCIONES PROPIAS READQUIRIDAS (DB)</t>
  </si>
  <si>
    <t>CUOTAS O PARTES DE INTERES SOCIAL PROPIAS READQUIRIDAS (DB)</t>
  </si>
  <si>
    <t>APORTES SOCIALES</t>
  </si>
  <si>
    <t>APORTES DE SOCIOS - FONDO MUTUO DE INVERSION</t>
  </si>
  <si>
    <t>CONTRIBUCION DE LA EMPRESA - FONDO MUTUO DE INVERSION</t>
  </si>
  <si>
    <t>SUSCRIPCIONES DEL PUBLICO</t>
  </si>
  <si>
    <t>CAPITAL ASIGNADO</t>
  </si>
  <si>
    <t>INVERSION SUPLEMENTARIA AL CAPITAL ASIGNADO</t>
  </si>
  <si>
    <t>CAPITAL DE PERSONAS NATURALES</t>
  </si>
  <si>
    <t>APORTES DEL ESTADO</t>
  </si>
  <si>
    <t>FONDO SOCIAL</t>
  </si>
  <si>
    <t>SUPERAVIT DE CAPITAL</t>
  </si>
  <si>
    <t>PRIMA EN COLOCACION DE ACCIONES, CUOTAS O PARTES DE INTERES SOCIAL</t>
  </si>
  <si>
    <t>PRIMA EN COLOCACION DE ACCIONES</t>
  </si>
  <si>
    <t>PRIMA EN COLOCACION DE ACCIONES POR COBRAR (DB)</t>
  </si>
  <si>
    <t>PRIMA EN COLOCACION DE CUOTAS O PARTES DE INTERES SOCIAL</t>
  </si>
  <si>
    <t>DONACIONES</t>
  </si>
  <si>
    <t>EN DINERO</t>
  </si>
  <si>
    <t>EN VALORES MOBILIARIOS</t>
  </si>
  <si>
    <t>EN BIENES MUEBLES</t>
  </si>
  <si>
    <t>EN BIENES INMUEBLES</t>
  </si>
  <si>
    <t>EN INTANGIBLES</t>
  </si>
  <si>
    <t>RESERVAS</t>
  </si>
  <si>
    <t>RESERVAS OBLIGATORIAS</t>
  </si>
  <si>
    <t>RESERVA LEGAL</t>
  </si>
  <si>
    <t>RESERVAS POR DISPOSICIONES FISCALES</t>
  </si>
  <si>
    <t>RESERVA PARA READQUISICION DE ACCIONES</t>
  </si>
  <si>
    <t>RESERVA PARA READQUISICION DE CUOTAS O PARTES DE INTERES SOCIAL</t>
  </si>
  <si>
    <t>RESERVA PARA EXTENSION AGROPECUARIA</t>
  </si>
  <si>
    <t>RESERVA LEY 7a. DE 1990</t>
  </si>
  <si>
    <t>RESERVA PARA REPOSICION DE SEMOVIENTES</t>
  </si>
  <si>
    <t>RESERVA LEY 4a DE 1980</t>
  </si>
  <si>
    <t>RESERVAS ESTATUTARIAS</t>
  </si>
  <si>
    <t>PARA FUTURAS CAPITALIZACIONES</t>
  </si>
  <si>
    <t>PARA REPOSICION DE ACTIVOS</t>
  </si>
  <si>
    <t>PARA FUTUROS ENSANCHES</t>
  </si>
  <si>
    <t>RESERVAS OCASIONALES</t>
  </si>
  <si>
    <t>PARA BENEFICENCIA Y CIVISMO</t>
  </si>
  <si>
    <t>PARA ADQUISICION O REPOSICION DE PROPIEDADES PLANTA Y EQUIPO</t>
  </si>
  <si>
    <t>PARA INVESTIGACIONES Y DESARROLLO</t>
  </si>
  <si>
    <t>PARA FOMENTO ECONOMICO</t>
  </si>
  <si>
    <t>PARA CAPITAL DE TRABAJO</t>
  </si>
  <si>
    <t>PARA ESTABILIZACION DE RENDIMIENTOS</t>
  </si>
  <si>
    <t>A DISPOSICION DEL MAXIMO ORGANO SOCIAL</t>
  </si>
  <si>
    <t>REVALORIZACION DEL PATRIMONIO</t>
  </si>
  <si>
    <t>DE CAPITAL SOCIAL</t>
  </si>
  <si>
    <t>DE SUPERAVIT DE CAPITAL</t>
  </si>
  <si>
    <t>DE RESERVAS</t>
  </si>
  <si>
    <t>DE RESULTADOS DE EJERCICIOS ANTERIORES</t>
  </si>
  <si>
    <t>DE ACTIVOS EN PERIODO IMPRODUCTIVO</t>
  </si>
  <si>
    <t>SANEAMIENTO FISCAL</t>
  </si>
  <si>
    <t>AJUSTES POR INFLACION DECRETO 3019 DE 1989</t>
  </si>
  <si>
    <t>DIVIDENDOS O PARTICIPACIONES DECRETADOS EN ACCIONES, CUOTAS O PARTES DE INTERES SOCIAL</t>
  </si>
  <si>
    <t>DIVIDENDOS DECRETADOS EN ACCIONES</t>
  </si>
  <si>
    <t>PARTICIPACIONES DECRETADAS EN CUOTAS O PARTES DE INTERES SOCIAL</t>
  </si>
  <si>
    <t>RESULTADOS DEL EJERCICIO</t>
  </si>
  <si>
    <t>UTILIDAD DEL EJERCICIO</t>
  </si>
  <si>
    <t>UTILIDAD POR EXPOSICION A LA INFLACION</t>
  </si>
  <si>
    <t>PERDIDA DEL EJERCICIO</t>
  </si>
  <si>
    <t>PERDIDA POR EXPOSICION A LA INFLACION</t>
  </si>
  <si>
    <t>RESULTADOS DE EJERCICIOS ANTERIORES</t>
  </si>
  <si>
    <t>UTILIDADES O EXCEDENTES ACUMULADOS</t>
  </si>
  <si>
    <t>PERDIDAS ACUMULADAS</t>
  </si>
  <si>
    <t>SUPERAVIT POR VALORIZACIONES</t>
  </si>
  <si>
    <t>INGRESOS</t>
  </si>
  <si>
    <t>OPERACIONALES</t>
  </si>
  <si>
    <t>AGRICULTURA, GANADERIA, CAZA Y SILVICULTURA</t>
  </si>
  <si>
    <t>CULTIVO DE CEREALES</t>
  </si>
  <si>
    <t>CULTIVOS DE HORTALIZAS, LEGUMBRES Y PLANTAS ORNAMENTALES</t>
  </si>
  <si>
    <t>CULTIVOS DE FRUTAS, NUECES Y PLANTAS AROMATICAS</t>
  </si>
  <si>
    <t>CULTIVO DE CAFE</t>
  </si>
  <si>
    <t>CULTIVO DE FLORES</t>
  </si>
  <si>
    <t>CULTIVO DE CAÑA DE AZUCAR</t>
  </si>
  <si>
    <t>CULTIVO DE ALGODON Y PLANTAS PARA MATERIAL TEXTIL</t>
  </si>
  <si>
    <t>CULTIVO DE BANANO</t>
  </si>
  <si>
    <t>OTROS CULTIVOS AGRICOLAS</t>
  </si>
  <si>
    <t>CRIA DE OVEJAS, CABRAS, ASNOS, MULAS Y BURDEGANOS</t>
  </si>
  <si>
    <t>CRIA DE GANADO CABALLAR Y VACUNO.</t>
  </si>
  <si>
    <t>PRODUCCION AVICOLA</t>
  </si>
  <si>
    <t>CRIA DE OTROS ANIMALES</t>
  </si>
  <si>
    <t>SERVICIOS AGRICOLAS Y GANADEROS</t>
  </si>
  <si>
    <t>ACTIVIDAD DE CAZA</t>
  </si>
  <si>
    <t>ACTIVIDAD DE SILVICULTURA</t>
  </si>
  <si>
    <t>PESCA</t>
  </si>
  <si>
    <t>ACTIVIDAD DE PESCA</t>
  </si>
  <si>
    <t>EXPLOTACION DE CRIADEROS DE PECES</t>
  </si>
  <si>
    <t>ACTIVIDADES CONEXAS</t>
  </si>
  <si>
    <t>EXPLOTACION DE MINAS Y CANTERAS</t>
  </si>
  <si>
    <t>CARBON</t>
  </si>
  <si>
    <t>PETROLEO CRUDO</t>
  </si>
  <si>
    <t>GAS NATURAL</t>
  </si>
  <si>
    <t>SERVICIOS RELACIONADOS CON EXTRACCION DE PETROLEO Y GAS</t>
  </si>
  <si>
    <t>MINERALES DE HIERRO</t>
  </si>
  <si>
    <t>MINERALES METALIFEROS NO FERROSOS</t>
  </si>
  <si>
    <t>PIEDRA, ARENA Y ARCILLA</t>
  </si>
  <si>
    <t>PIEDRAS PRECIOSAS</t>
  </si>
  <si>
    <t>ORO</t>
  </si>
  <si>
    <t>OTRAS MINAS Y CANTERAS</t>
  </si>
  <si>
    <t>PRESTACION DE SERVICIOS SECTOR MINERO</t>
  </si>
  <si>
    <t>INDUSTRIAS MANUFACTURERAS</t>
  </si>
  <si>
    <t>PRODUCCION Y PROCESAMIENTO DE CARNES Y PRODUCTOS CARNICOS</t>
  </si>
  <si>
    <t>PRODUCTOS DE PESCADO</t>
  </si>
  <si>
    <t>PRODUCTOS DE FRUTAS, LEGUMBRES Y HORTALIZAS</t>
  </si>
  <si>
    <t>ELABORACION DE ACEITES Y GRASAS</t>
  </si>
  <si>
    <t>ELABORACION DE PRODUCTOS LACTEOS</t>
  </si>
  <si>
    <t>ELABORACION DE PRODUCTOS DE MOLINERIA</t>
  </si>
  <si>
    <t>ELABORACION DE ALMIDONES Y DERIVADOS</t>
  </si>
  <si>
    <t>ELABORACION DE ALIMENTOS PARA ANIMALES</t>
  </si>
  <si>
    <t>ELABORACION DE PRODUCTOS PARA PANADERIA</t>
  </si>
  <si>
    <t>ELABORACION DE AZUCAR Y MELAZAS</t>
  </si>
  <si>
    <t>ELABORACION DE CACAO, CHOCOLATE Y CONFITERIA</t>
  </si>
  <si>
    <t>ELABORACION DE PASTAS Y PRODUCTOS FARINACEOS</t>
  </si>
  <si>
    <t>ELABORACION DE PRODUCTOS DE CAFE</t>
  </si>
  <si>
    <t>ELABORACION DE OTROS PRODUCTOS ALIMENTICIOS</t>
  </si>
  <si>
    <t>ELABORACION DE BEBIDAS ALCOHOLICAS Y ALCOHOL ETILICO</t>
  </si>
  <si>
    <t>ELABORACION DE VINOS</t>
  </si>
  <si>
    <t>ELABORACION DE BEBIDAS MALTEADAS Y DE MALTA</t>
  </si>
  <si>
    <t>ELABORACION DE BEBIDAS NO ALCOHOLICAS</t>
  </si>
  <si>
    <t>ELABORACION DE PRODUCTOS DE TABACO</t>
  </si>
  <si>
    <t>PREPARACION E HILATURA DE FIBRAS TEXTILES Y TEJEDURIA</t>
  </si>
  <si>
    <t>ACABADO DE PRODUCTOS TEXTILES</t>
  </si>
  <si>
    <t>ELABORACION DE ARTICULOS DE MATERIALES TEXTILES</t>
  </si>
  <si>
    <t>ELABORACION DE TAPICES Y ALFOMBRAS</t>
  </si>
  <si>
    <t>ELABORACION DE CUERDAS, CORDELES, BRAMANTES Y REDES</t>
  </si>
  <si>
    <t>ELABORACION DE OTROS PRODUCTOS TEXTILES</t>
  </si>
  <si>
    <t>ELABORACION DE TEJIDOS</t>
  </si>
  <si>
    <t>ELABORACION DE PRENDAS DE VESTIR</t>
  </si>
  <si>
    <t>PREPARACION, ADOBO Y TEÑIDO DE PIELES</t>
  </si>
  <si>
    <t>CURTIDO, ADOBO O PREPARACION DE CUERO</t>
  </si>
  <si>
    <t>ELABORACION DE MALETAS, BOLSOS Y SIMILARES</t>
  </si>
  <si>
    <t>ELABORACION DE CALZADO</t>
  </si>
  <si>
    <t>PRODUCCION DE MADERA, ARTICULOS DE MADERA Y CORCHO</t>
  </si>
  <si>
    <t>ELABORACION DE PASTA Y PRODUCTOS DE MADERA, PAPEL Y CARTON</t>
  </si>
  <si>
    <t>EDICIONES Y PUBLICACIONES</t>
  </si>
  <si>
    <t>IMPRESION</t>
  </si>
  <si>
    <t>SERVICIOS RELACIONADOS CON LA EDICION Y LA IMPRESION</t>
  </si>
  <si>
    <t>REPRODUCCION DE GRABACIONES</t>
  </si>
  <si>
    <t>ELABORACION DE PRODUCTOS DE HORNO DE COQUE</t>
  </si>
  <si>
    <t>ELABORACION DE PRODUCTOS DE LA REFINACION DE PETROLEO</t>
  </si>
  <si>
    <t>ELABORACION DE SUSTANCIAS QUIMICAS BASICAS</t>
  </si>
  <si>
    <t>ELABORACION DE ABONOS Y COMPUESTOS DE NITROGENO</t>
  </si>
  <si>
    <t>ELABORACION DE PLASTICO Y CAUCHO SINTETICO</t>
  </si>
  <si>
    <t>ELABORACION DE PRODUCTOS QUIMICOS DE USO AGROPECUARIO</t>
  </si>
  <si>
    <t>ELABORACION DE PINTURAS, TINTAS Y MASILLAS</t>
  </si>
  <si>
    <t>ELABORACION DE PRODUCTOS FARMACEUTICOS Y BOTANICOS</t>
  </si>
  <si>
    <t>ELABORACION DE JABONES, DETERGENTES Y PREPARADOS DE TOCADOR</t>
  </si>
  <si>
    <t>ELABORACION DE OTROS PRODUCTOS QUIMICOS</t>
  </si>
  <si>
    <t>ELABORACION DE FIBRAS</t>
  </si>
  <si>
    <t>ELABORACION DE OTROS PRODUCTOS DE CAUCHO</t>
  </si>
  <si>
    <t>ELABORACION DE PRODUCTOS DE PLASTICO</t>
  </si>
  <si>
    <t>ELABORACION DE VIDRIO Y PRODUCTOS DE VIDRIO</t>
  </si>
  <si>
    <t>ELABORACION DE PRODUCTOS DE CERAMICA, LOZA, PIEDRA, ARCILLA Y PORCELANA</t>
  </si>
  <si>
    <t>ELABORACION DE CEMENTO, CAL Y YESO</t>
  </si>
  <si>
    <t>ELABORACION DE ARTICULOS DE HORMIGON, CEMENTO Y YESO</t>
  </si>
  <si>
    <t>CORTE, TALLADO Y ACABADO DE LA PIEDRA</t>
  </si>
  <si>
    <t>ELABORACION DE OTROS PRODUCTOS MINERALES NO METALICOS</t>
  </si>
  <si>
    <t>INDUSTRIAS BASICAS Y FUNDICION DE HIERRO Y ACERO</t>
  </si>
  <si>
    <t>PRODUCTOS PRIMARIOS DE METALES PRECIOSOS Y DE METALES NO FERROSOS</t>
  </si>
  <si>
    <t>FUNDICION DE METALES NO FERROSOS</t>
  </si>
  <si>
    <t>FABRICACION DE PRODUCTOS METALICOS PARA USO ESTRUCTURAL</t>
  </si>
  <si>
    <t>FORJA, PRENSADO, ESTAMPADO, LAMINADO DE METAL Y PULVIMETALURGIA</t>
  </si>
  <si>
    <t>REVESTIMIENTO DE METALES Y OBRAS DE INGENIERIA MECANICA</t>
  </si>
  <si>
    <t>FABRICACION DE ARTICULOS DE FERRETERIA</t>
  </si>
  <si>
    <t>ELABORACION DE OTROS PRODUCTOS DE METAL</t>
  </si>
  <si>
    <t>FABRICACION DE MAQUINARIA Y EQUIPO</t>
  </si>
  <si>
    <t>FABRICACION DE EQUIPOS DE ELEVACION Y MANIPULACION</t>
  </si>
  <si>
    <t>ELABORACION DE APARATOS DE USO DOMESTICO</t>
  </si>
  <si>
    <t>ELABORACION DE EQUIPO DE OFICINA</t>
  </si>
  <si>
    <t>ELABORACION DE PILAS Y BATERIAS PRIMARIAS</t>
  </si>
  <si>
    <t>ELABORACION DE EQUIPO DE ILUMINACION</t>
  </si>
  <si>
    <t>ELABORACION DE OTROS TIPOS DE EQUIPO ELECTRICO</t>
  </si>
  <si>
    <t>FABRICACION DE EQUIPOS DE RADIO, TELEVISION Y COMUNICACIONES</t>
  </si>
  <si>
    <t>FABRICACION DE APARATOS E INSTRUMENTOS MEDICOS</t>
  </si>
  <si>
    <t>FABRICACION DE INSTRUMENTOS DE MEDICION Y CONTROL</t>
  </si>
  <si>
    <t>FABRICACION DE INSTRUMENTOS DE OPTICA Y EQUIPO FOTOGRAFICO</t>
  </si>
  <si>
    <t>FABRICACION DE RELOJES</t>
  </si>
  <si>
    <t>FABRICACION DE VEHICULOS AUTOMOTORES</t>
  </si>
  <si>
    <t>FABRICACION DE CARROCERIAS PARA AUTOMOTORES</t>
  </si>
  <si>
    <t>FABRICACION DE PARTES PIEZAS Y ACCESORIOS PARA AUTOMOTORES</t>
  </si>
  <si>
    <t>FABRICACION Y REPARACION DE BUQUES Y OTRAS EMBARCACIONES</t>
  </si>
  <si>
    <t>FABRICACION DE LOCOMOTORAS Y MATERIAL RODANTE PARA FERROCARRILES</t>
  </si>
  <si>
    <t>FABRICACION DE AERONAVES</t>
  </si>
  <si>
    <t>FABRICACION DE MOTOCICLETAS</t>
  </si>
  <si>
    <t>FABRICACION DE BICICLETAS Y SILLAS DE RUEDAS</t>
  </si>
  <si>
    <t>FABRICACION DE OTROS TIPOS DE TRANSPORTE</t>
  </si>
  <si>
    <t>FABRICACION DE MUEBLES</t>
  </si>
  <si>
    <t>FABRICACION DE JOYAS Y ARTICULOS CONEXOS</t>
  </si>
  <si>
    <t>FABRICACION DE INSTRUMENTOS DE MUSICA</t>
  </si>
  <si>
    <t>FABRICACION DE ARTICULOS Y EQUIPO PARA DEPORTE</t>
  </si>
  <si>
    <t>FABRICACION DE JUEGOS Y JUGUETES</t>
  </si>
  <si>
    <t>RECICLAMIENTO DE DESPERDICIOS</t>
  </si>
  <si>
    <t>PRODUCTOS DE OTRAS INDUSTRIAS MANUFACTURERAS</t>
  </si>
  <si>
    <t>SUMINISTRO DE ELECTRICIDAD, GAS Y AGUA</t>
  </si>
  <si>
    <t>GENERACION, CAPTACION Y DISTRIBUCION DE ENERGIA ELECTRICA</t>
  </si>
  <si>
    <t>FABRICACION DE GAS Y DISTRIBUCION DE COMBUSTIBLES GASEOSOS</t>
  </si>
  <si>
    <t>CAPTACION, DEPURACION Y DISTRIBUCION DE AGUA</t>
  </si>
  <si>
    <t>CONSTRUCCION</t>
  </si>
  <si>
    <t>PREPARACION DE TERRENOS</t>
  </si>
  <si>
    <t>CONSTRUCCION DE EDIFICIOS Y OBRAS DE INGENIERIA CIVIL</t>
  </si>
  <si>
    <t>ACONDICIONAMIENTO DE EDIFICIOS</t>
  </si>
  <si>
    <t>TERMINACION DE EDIFICACIONES</t>
  </si>
  <si>
    <t>ALQUILER DE EQUIPO CON OPERARIOS</t>
  </si>
  <si>
    <t>COMERCIO AL POR MAYOR Y AL POR MENOR</t>
  </si>
  <si>
    <t>VENTA DE VEHICULOS AUTOMOTORES</t>
  </si>
  <si>
    <t>MANTENIMIENTO, REPARACION Y LAVADO DE VEHICULOS AUTOMOTORES</t>
  </si>
  <si>
    <t>VENTA DE PARTES, PIEZAS Y ACCESORIOS DE VEHICULOS AUTOMOTORES</t>
  </si>
  <si>
    <t>VENTA DE COMBUSTIBLES SOLIDOS, LIQUIDOS, GASEOSOS</t>
  </si>
  <si>
    <t>VENTA DE LUBRICANTES, ADITIVOS, LLANTAS Y LUJOS PARA AUTOMOTORES</t>
  </si>
  <si>
    <t>VENTA A CAMBIO DE RETRIBUCION O POR CONTRATA</t>
  </si>
  <si>
    <t>VENTA DE INSUMOS, MATERIAS PRIMAS AGROPECUARIAS Y FLORES</t>
  </si>
  <si>
    <t>VENTA DE OTROS INSUMOS Y MATERIAS PRIMAS NO AGROPECUARIAS</t>
  </si>
  <si>
    <t>VENTA DE ANIMALES VIVOS Y CUEROS</t>
  </si>
  <si>
    <t>VENTA DE PRODUCTOS EN ALMACENES NO ESPECIALIZADOS</t>
  </si>
  <si>
    <t>VENTA DE PRODUCTOS AGROPECUARIOS</t>
  </si>
  <si>
    <t>VENTA DE PRODUCTOS TEXTILES, DE VESTIR, DE CUERO Y CALZADO</t>
  </si>
  <si>
    <t>VENTA DE PAPEL Y CARTON</t>
  </si>
  <si>
    <t>VENTA DE LIBROS, REVISTAS, ELEMENTOS DE PAPELERIA, UTILES Y TEXTOS ESCOLARES</t>
  </si>
  <si>
    <t>VENTA DE JUEGOS, JUGUETES Y ARTICULOS DEPORTIVOS</t>
  </si>
  <si>
    <t>VENTA DE INSTRUMENTOS QUIRURGICOS Y ORTOPEDICOS</t>
  </si>
  <si>
    <t>VENTA DE ARTICULOS EN RELOJERIAS Y JOYERIAS</t>
  </si>
  <si>
    <t>VENTA DE ELECTRODOMESTICOS Y MUEBLES</t>
  </si>
  <si>
    <t>VENTA DE PRODUCTOS DE ASEO, FARMACEUTICOS, MEDICINALES, Y ARTICULOS DE TOCADOR</t>
  </si>
  <si>
    <t>VENTA DE CUBIERTOS, VAJILLAS, CRISTALERIA, PORCELANAS, CERAMICAS Y OTROS ARTICULOS DE USO DOMESTICO</t>
  </si>
  <si>
    <t>VENTA DE MATERIALES DE CONSTRUCCION, FONTANERIA Y CALEFACCION</t>
  </si>
  <si>
    <t>VENTA DE PINTURAS Y LACAS</t>
  </si>
  <si>
    <t>VENTA DE PRODUCTOS DE VIDRIOS Y MARQUETERIA</t>
  </si>
  <si>
    <t>VENTA DE HERRAMIENTAS Y ARTICULOS DE FERRETERIA</t>
  </si>
  <si>
    <t>VENTA DE QUIMICOS</t>
  </si>
  <si>
    <t>VENTA DE PRODUCTOS INTERMEDIOS, DESPERDICIOS Y DESECHOS</t>
  </si>
  <si>
    <t>VENTA DE MAQUINARIA, EQUIPO DE OFICINA Y PROGRAMAS DE COMPUTADOR</t>
  </si>
  <si>
    <t>VENTA DE ARTICULOS EN CACHARRERIAS Y MISCELANEAS</t>
  </si>
  <si>
    <t>VENTA DE INSTRUMENTOS MUSICALES</t>
  </si>
  <si>
    <t>VENTA DE ARTICULOS EN CASAS DE EMPEÑO Y PRENDERIAS</t>
  </si>
  <si>
    <t>VENTA DE EQUIPO FOTOGRAFICO</t>
  </si>
  <si>
    <t>VENTA DE EQUIPO OPTICO Y DE PRECISION</t>
  </si>
  <si>
    <t>VENTA DE EMPAQUES</t>
  </si>
  <si>
    <t>VENTA DE EQUIPO PROFESIONAL Y CIENTIFICO</t>
  </si>
  <si>
    <t>VENTA DE LOTERIAS, RIFAS, CHANCE, APUESTAS Y SIMILARES</t>
  </si>
  <si>
    <t>REPARACION DE EFECTOS PERSONALES Y ELECTRODOMESTICOS</t>
  </si>
  <si>
    <t>VENTA DE OTROS PRODUCTOS</t>
  </si>
  <si>
    <t>HOTELES Y RESTAURANTES</t>
  </si>
  <si>
    <t>HOTELERIA</t>
  </si>
  <si>
    <t>CAMPAMENTO Y OTROS TIPOS DE HOSPEDAJE</t>
  </si>
  <si>
    <t>RESTAURANTES</t>
  </si>
  <si>
    <t>BARES Y CANTINAS</t>
  </si>
  <si>
    <t>TRANSPORTE, ALMACENAMIENTO Y COMUNICACIONES</t>
  </si>
  <si>
    <t>SERVICIO DE TRANSPORTE POR CARRETERA</t>
  </si>
  <si>
    <t>SERVICIO DE TRANSPORTE POR VIA FERREA</t>
  </si>
  <si>
    <t>SERVICIO DE TRANSPORTE POR VIA ACUATICA</t>
  </si>
  <si>
    <t>SERVICIO DE TRANSPORTE POR VIA AEREA</t>
  </si>
  <si>
    <t>SERVICIO DE TRANSPORTE POR TUBERIAS</t>
  </si>
  <si>
    <t>MANIPULACION DE CARGA</t>
  </si>
  <si>
    <t>ALMACENAMIENTO Y DEPOSITO</t>
  </si>
  <si>
    <t>SERVICIOS COMPLEMENTARIOS PARA EL TRANSPORTE</t>
  </si>
  <si>
    <t>AGENCIAS DE VIAJE</t>
  </si>
  <si>
    <t>OTRAS AGENCIAS DE TRANSPORTE</t>
  </si>
  <si>
    <t>SERVICIO POSTAL Y DE CORREO</t>
  </si>
  <si>
    <t>SERVICIO TELEFONICO</t>
  </si>
  <si>
    <t>SERVICIO DE TELEGRAFO</t>
  </si>
  <si>
    <t>SERVICIO DE TRANSMISION DE DATOS</t>
  </si>
  <si>
    <t>SERVICIO DE RADIO Y TELEVISION POR CABLE</t>
  </si>
  <si>
    <t>TRANSMISION DE SONIDO E IMAGENES POR CONTRATO</t>
  </si>
  <si>
    <t>ACTIVIDAD FINANCIERA</t>
  </si>
  <si>
    <t>VENTA DE INVERSIONES</t>
  </si>
  <si>
    <t>DIVIDENDOS DE SOCIEDADES ANONIMAS Y/O ASIMILADAS</t>
  </si>
  <si>
    <t>PARTICIPACIONES DE SOCIEDADES LIMITADAS Y/O ASIMILADAS</t>
  </si>
  <si>
    <t>REAJUSTE MONETARIO - UPAC</t>
  </si>
  <si>
    <t>OPERACIONES DE DESCUENTO</t>
  </si>
  <si>
    <t>CUOTAS DE INSCRIPCION - CONSORCIOS</t>
  </si>
  <si>
    <t>CUOTAS DE ADMINISTRACION - CONSORCIOS</t>
  </si>
  <si>
    <t>REAJUSTE DEL SISTEMA - CONSORCIOS</t>
  </si>
  <si>
    <t>ELIMINACION DE SUSCRIPTORES - CONSORCIOS</t>
  </si>
  <si>
    <t>CUOTAS DE INGRESO O RETIRO - SOCIEDAD ADMINISTRADORA</t>
  </si>
  <si>
    <t>SERVICIOS A COMISIONISTAS</t>
  </si>
  <si>
    <t>INSCRIPCIONES Y CUOTAS</t>
  </si>
  <si>
    <t>RECUPERACION DE GARANTIAS</t>
  </si>
  <si>
    <t>ACTIVIDADES INMOBILIARIAS, EMPRESARIALES Y DE ALQUILER</t>
  </si>
  <si>
    <t>ARRENDAMIENTOS DE BIENES INMUEBLES</t>
  </si>
  <si>
    <t>INMOBILIARIAS POR RETRIBUCION O CONTRATA</t>
  </si>
  <si>
    <t>ALQUILER EQUIPO DE TRANSPORTE</t>
  </si>
  <si>
    <t>ALQUILER MAQUINARIA Y EQUIPO</t>
  </si>
  <si>
    <t>ALQUILER DE EFECTOS PERSONALES Y ENSERES DOMESTICOS</t>
  </si>
  <si>
    <t>CONSULTORIA EN EQUIPO Y PROGRAMAS DE INFORMATICA</t>
  </si>
  <si>
    <t>PROCESAMIENTO DE DATOS</t>
  </si>
  <si>
    <t>MANTENIMIENTO Y REPARACION DE MAQUINARIA DE OFICINA</t>
  </si>
  <si>
    <t>INVESTIGACIONES CIENTIFICAS Y DE DESARROLLO</t>
  </si>
  <si>
    <t>ACTIVIDADES EMPRESARIALES DE CONSULTORIA</t>
  </si>
  <si>
    <t>PUBLICIDAD</t>
  </si>
  <si>
    <t>DOTACION DE PERSONAL</t>
  </si>
  <si>
    <t>INVESTIGACION Y SEGURIDAD</t>
  </si>
  <si>
    <t>LIMPIEZA DE INMUEBLES</t>
  </si>
  <si>
    <t>FOTOGRAFIA</t>
  </si>
  <si>
    <t>ENVASE Y EMPAQUE</t>
  </si>
  <si>
    <t>FOTOCOPIADO</t>
  </si>
  <si>
    <t>MANTENIMIENTO Y REPARACION DE MAQUINARIA Y EQUIPO</t>
  </si>
  <si>
    <t>ENSEÑANZA</t>
  </si>
  <si>
    <t>ACTIVIDADES RELACIONADAS CON LA EDUCACION</t>
  </si>
  <si>
    <t>SERVICIOS SOCIALES Y DE SALUD</t>
  </si>
  <si>
    <t>SERVICIO HOSPITALARIO</t>
  </si>
  <si>
    <t>SERVICIO MEDICO</t>
  </si>
  <si>
    <t>SERVICIO ODONTOLOGICO</t>
  </si>
  <si>
    <t>SERVICIO DE LABORATORIO</t>
  </si>
  <si>
    <t>ACTIVIDADES VETERINARIAS</t>
  </si>
  <si>
    <t>ACTIVIDADES DE SERVICIOS SOCIALES</t>
  </si>
  <si>
    <t>OTRAS ACTIVIDADES DE SERVICIOS COMUNITARIOS, SOCIALES Y PERSONALES</t>
  </si>
  <si>
    <t>ELIMINACION DE DESPERDICIOS Y AGUAS RESIDUALES</t>
  </si>
  <si>
    <t>ACTIVIDADES DE ASOCIACION</t>
  </si>
  <si>
    <t>PRODUCCION Y DISTRIBUCION DE FILMES Y VIDEOCINTAS</t>
  </si>
  <si>
    <t>EXHIBICION DE FILMES Y VIDEOCINTAS</t>
  </si>
  <si>
    <t>ACTIVIDAD DE RADIO Y TELEVISION</t>
  </si>
  <si>
    <t>ACTIVIDAD TEATRAL, MUSICAL Y ARTISTICA</t>
  </si>
  <si>
    <t>GRABACION Y PRODUCCION DE DISCOS</t>
  </si>
  <si>
    <t>ENTRETENIMIENTO Y ESPARCIMIENTO</t>
  </si>
  <si>
    <t>AGENCIAS DE NOTICIAS</t>
  </si>
  <si>
    <t>LAVANDERIAS Y SIMILARES</t>
  </si>
  <si>
    <t>PELUQUERIAS Y SIMILARES</t>
  </si>
  <si>
    <t>SERVICIOS FUNERARIOS</t>
  </si>
  <si>
    <t>ZONAS FRANCAS</t>
  </si>
  <si>
    <t>DEVOLUCIONES, REBAJAS Y DESCUENTOS EN VENTAS (DB)</t>
  </si>
  <si>
    <t>NO OPERACIONALES</t>
  </si>
  <si>
    <t>OTRAS VENTAS</t>
  </si>
  <si>
    <t>MATERIA PRIMA</t>
  </si>
  <si>
    <t>MATERIAL DE DESECHO</t>
  </si>
  <si>
    <t>MATERIALES VARIOS</t>
  </si>
  <si>
    <t>PRODUCTOS DE DIVERSIFICACION</t>
  </si>
  <si>
    <t>EXCEDENTES DE EXPORTACION</t>
  </si>
  <si>
    <t>PRODUCTOS AGRICOLAS</t>
  </si>
  <si>
    <t>DE PROPAGANDA</t>
  </si>
  <si>
    <t>PRODUCTOS EN REMATE</t>
  </si>
  <si>
    <t>FINANCIEROS</t>
  </si>
  <si>
    <t>DESCUENTOS AMORTIZADOS</t>
  </si>
  <si>
    <t>DIFERENCIA EN CAMBIO</t>
  </si>
  <si>
    <t>FINANCIACION VEHICULOS</t>
  </si>
  <si>
    <t>FINANCIACION SISTEMAS DE VIAJES</t>
  </si>
  <si>
    <t>DESCUENTOS COMERCIALES CONDICIONADOS</t>
  </si>
  <si>
    <t>DESCUENTOS BANCARIOS</t>
  </si>
  <si>
    <t>COMISIONES CHEQUES DE OTRAS PLAZAS</t>
  </si>
  <si>
    <t>MULTAS Y RECARGOS</t>
  </si>
  <si>
    <t>SANCIONES CHEQUES DEVUELTOS</t>
  </si>
  <si>
    <t>DIVIDENDOS Y PARTICIPACIONES</t>
  </si>
  <si>
    <t>DE SOCIEDADES ANONIMAS Y/O ASIMILADAS</t>
  </si>
  <si>
    <t>DE SOCIEDADES LIMITADAS Y/O ASIMILADAS</t>
  </si>
  <si>
    <t>CONSTRUCCIONES Y EDIFICIOS</t>
  </si>
  <si>
    <t>SOBRE INVERSIONES</t>
  </si>
  <si>
    <t>DE CONCESIONARIOS</t>
  </si>
  <si>
    <t>DE ACTIVIDADES FINANCIERAS</t>
  </si>
  <si>
    <t>POR VENTA DE SERVICIOS DE TALLER</t>
  </si>
  <si>
    <t>POR VENTA DE SEGUROS</t>
  </si>
  <si>
    <t>POR INGRESOS PARA TERCEROS</t>
  </si>
  <si>
    <t>POR DISTRIBUCION DE PELICULAS</t>
  </si>
  <si>
    <t>DERECHOS DE PROGRAMACION</t>
  </si>
  <si>
    <t>ASESORIAS</t>
  </si>
  <si>
    <t>ASISTENCIA TECNICA</t>
  </si>
  <si>
    <t>ADMINISTRACION DE VINCULADAS</t>
  </si>
  <si>
    <t>DE BASCULA</t>
  </si>
  <si>
    <t>DE TRANSPORTE</t>
  </si>
  <si>
    <t>DE PRENSA</t>
  </si>
  <si>
    <t>TECNICOS</t>
  </si>
  <si>
    <t>DE COMPUTACION</t>
  </si>
  <si>
    <t>DE TELEFAX</t>
  </si>
  <si>
    <t>TALLER DE VEHICULOS</t>
  </si>
  <si>
    <t>DE RECEPCION DE AERONAVES</t>
  </si>
  <si>
    <t>DE TRANSPORTE PROGRAMA GAS NATURAL</t>
  </si>
  <si>
    <t>POR CONTRATOS</t>
  </si>
  <si>
    <t>DE TRILLLA</t>
  </si>
  <si>
    <t>DE MANTENIMIENTO</t>
  </si>
  <si>
    <t>AL PERSONAL</t>
  </si>
  <si>
    <t>DE CASINO</t>
  </si>
  <si>
    <t>FLETES</t>
  </si>
  <si>
    <t>ENTRE COMPAÑIAS</t>
  </si>
  <si>
    <t>UTILIDAD EN VENTA DE INVERSIONES</t>
  </si>
  <si>
    <t>UTILIDAD EN VENTA DE PROPIEDADES PLANTA Y EQUIPO</t>
  </si>
  <si>
    <t>MATERIALES INDUSTRIA PETROLERA</t>
  </si>
  <si>
    <t>UTILIDAD EN VENTA DE OTROS BIENES</t>
  </si>
  <si>
    <t>RECUPERACIONES</t>
  </si>
  <si>
    <t>DEUDAS MALAS</t>
  </si>
  <si>
    <t>REINTEGRO POR PERSONAL EN COMISION</t>
  </si>
  <si>
    <t>REINTEGRO GARANTIAS</t>
  </si>
  <si>
    <t>DESCUENTOS CONCEDIDOS</t>
  </si>
  <si>
    <t>REINTEGRO PROVISIONES</t>
  </si>
  <si>
    <t>GASTOS BANCARIOS</t>
  </si>
  <si>
    <t>DE DEPRECIACION</t>
  </si>
  <si>
    <t>REINTEGRO DE OTROS COSTOS Y GASTOS</t>
  </si>
  <si>
    <t>POR SINIESTRO</t>
  </si>
  <si>
    <t>POR SUMINISTROS</t>
  </si>
  <si>
    <t>LUCRO CESANTE COMPAÑIAS DE SEGUROS</t>
  </si>
  <si>
    <t>DAÑO EMERGENTE COMPAÑIAS DE SEGUROS</t>
  </si>
  <si>
    <t>POR PERDIDA DE MERCANCIA</t>
  </si>
  <si>
    <t>POR INCUMPLIMIENTO DE CONTRATOS</t>
  </si>
  <si>
    <t>DE TERCEROS</t>
  </si>
  <si>
    <t>POR INCAPACIDADES I.S.S.</t>
  </si>
  <si>
    <t>PARTICIPACIONES EN CONCESIONES</t>
  </si>
  <si>
    <t>INGRESOS DE EJERCICIOS ANTERIORES</t>
  </si>
  <si>
    <t>DEVOLUCIONES, REBAJAS Y DESCUENTOS EN OTRAS VENTAS (DB)</t>
  </si>
  <si>
    <t>CERT</t>
  </si>
  <si>
    <t>APROVECHAMIENTOS</t>
  </si>
  <si>
    <t>INGRESOS POR INVESTIGACION Y DESARROLLO</t>
  </si>
  <si>
    <t>POR TRABAJOS EJECUTADOS</t>
  </si>
  <si>
    <t>DERIVADOS DE LAS EXPORTACIONES</t>
  </si>
  <si>
    <t>OTROS INGRESOS DE EXPLOTACION</t>
  </si>
  <si>
    <t>DE LA ACTIVIDAD GANADERA</t>
  </si>
  <si>
    <t>DERECHOS Y LICITACIONES</t>
  </si>
  <si>
    <t>INGRESOS POR ELEMENTOS PERDIDOS</t>
  </si>
  <si>
    <t>PREAVISOS DESCONTADOS</t>
  </si>
  <si>
    <t>RECOBRO DE DAÑOS</t>
  </si>
  <si>
    <t>PREMIOS</t>
  </si>
  <si>
    <t>PRODUCTOS DESCONTADOS</t>
  </si>
  <si>
    <t>RECONOCIMIENTOS I.S.S.</t>
  </si>
  <si>
    <t>EXCEDENTES</t>
  </si>
  <si>
    <t>SOBRANTES DE CAJA MENOR</t>
  </si>
  <si>
    <t>SOBRANTES EN LIQUIDACION FLETES</t>
  </si>
  <si>
    <t>SUBSIDIOS ESTATALES</t>
  </si>
  <si>
    <t>CAPACITACION DISTRIBUIDORES</t>
  </si>
  <si>
    <t>DE ESCRITURACION</t>
  </si>
  <si>
    <t>REGISTRO PROMESAS DE VENTA</t>
  </si>
  <si>
    <t>UTILES, PAPELERIA Y FOTOCOPIAS</t>
  </si>
  <si>
    <t>RESULTADOS MATRICULAS Y TRASPASOS</t>
  </si>
  <si>
    <t>DECORACIONES</t>
  </si>
  <si>
    <t>MANEJO DE CARGA</t>
  </si>
  <si>
    <t>HISTORIA CLINICA</t>
  </si>
  <si>
    <t>AJUSTE AL PESO</t>
  </si>
  <si>
    <t>LLAMADAS TELEFONICAS</t>
  </si>
  <si>
    <t>CORRECCION MONETARIA</t>
  </si>
  <si>
    <t>INVERSIONES (CR)</t>
  </si>
  <si>
    <t>INVENTARIOS (CR)</t>
  </si>
  <si>
    <t>PROPIEDADES, PLANTA Y EQUIPO (CR)</t>
  </si>
  <si>
    <t>INTANGIBLES (CR)</t>
  </si>
  <si>
    <t>ACTIVOS DIFERIDOS</t>
  </si>
  <si>
    <t>OTROS ACTIVOS (CR)</t>
  </si>
  <si>
    <t>PASIVOS SUJETOS DE AJUSTE</t>
  </si>
  <si>
    <t>DEPRECIACION ACUMULADA (DB)</t>
  </si>
  <si>
    <t>DEPRECIACION DIFERIDA (CR)</t>
  </si>
  <si>
    <t>AGOTAMIENTO ACUMULADO (DB)</t>
  </si>
  <si>
    <t>AMORTIZACION ACUMULADA (DB)</t>
  </si>
  <si>
    <t>INGRESOS OPERACIONALES (DB)</t>
  </si>
  <si>
    <t>INGRESOS NO OPERACIONALES (DB)</t>
  </si>
  <si>
    <t>GASTOS OPERACIONALES DE ADMINISTRACION (CR)</t>
  </si>
  <si>
    <t>GASTOS OPERACIONALES DE VENTAS (CR)</t>
  </si>
  <si>
    <t>GASTOS NO OPERACIONALES (CR)</t>
  </si>
  <si>
    <t>COMPRAS (CR)</t>
  </si>
  <si>
    <t>COSTO DE VENTAS (CR)</t>
  </si>
  <si>
    <t>COSTOS DE PRODUCCION O DE OPERACION (DB)</t>
  </si>
  <si>
    <t>GASTOS</t>
  </si>
  <si>
    <t>OPERACIONALES DE ADMINISTRACION</t>
  </si>
  <si>
    <t>GASTOS DE PERSONAL</t>
  </si>
  <si>
    <t>SALARIO INTEGRAL</t>
  </si>
  <si>
    <t>SUELDOS</t>
  </si>
  <si>
    <t>JORNALES</t>
  </si>
  <si>
    <t>HORAS EXTRAS Y RECARGOS</t>
  </si>
  <si>
    <t>INCAPACIDADES</t>
  </si>
  <si>
    <t>AUXILIO DE TRANSPORTE</t>
  </si>
  <si>
    <t>PRIMAS EXTRALEGALES</t>
  </si>
  <si>
    <t>AMORTIZACION CALCULO ACTUARIAL PENSIONES DE JUBILACION</t>
  </si>
  <si>
    <t>CAPACITACION AL PERSONAL</t>
  </si>
  <si>
    <t>GASTOS DEPORTIVOS Y DE RECREACION</t>
  </si>
  <si>
    <t>APORTES AL I.S.S</t>
  </si>
  <si>
    <t>APORTES CAJAS DE COMPENSACION FAMILIAR</t>
  </si>
  <si>
    <t>APORTES I.C.B.F.</t>
  </si>
  <si>
    <t>SENA</t>
  </si>
  <si>
    <t>APORTES SINDICALES</t>
  </si>
  <si>
    <t>GASTOS MEDICOS Y DROGAS</t>
  </si>
  <si>
    <t>JUNTA DIRECTIVA</t>
  </si>
  <si>
    <t>REVISORÍA FISCAL</t>
  </si>
  <si>
    <t>AUDITORIA EXTERNA</t>
  </si>
  <si>
    <t>AVALUOS</t>
  </si>
  <si>
    <t>ASESORIA JURIDICA</t>
  </si>
  <si>
    <t>ASESORIA FINANCIERA</t>
  </si>
  <si>
    <t>ASESORIA TECNICA</t>
  </si>
  <si>
    <t>IMPUESTOS</t>
  </si>
  <si>
    <t>INDUSTRIA Y COMERCIO</t>
  </si>
  <si>
    <t>DE TIMBRES</t>
  </si>
  <si>
    <t>IVA DESCONTABLE</t>
  </si>
  <si>
    <t>AFILIACIONES Y SOSTENIMIENTO</t>
  </si>
  <si>
    <t>MANEJO</t>
  </si>
  <si>
    <t>CUMPLIMIENTO</t>
  </si>
  <si>
    <t>CORRIENTE DEBIL</t>
  </si>
  <si>
    <t>VIDA COLECTIVA</t>
  </si>
  <si>
    <t>INCENDIO</t>
  </si>
  <si>
    <t>TERREMOTO</t>
  </si>
  <si>
    <t>SUSTRACCION Y HURTO</t>
  </si>
  <si>
    <t>RESPONSABILIDAD CIVIL Y EXTRACONTRACTUAL</t>
  </si>
  <si>
    <t>VUELO</t>
  </si>
  <si>
    <t>ROTURA DE MAQUINARIA</t>
  </si>
  <si>
    <t>OBLIGATORIO ACCIDENTE DE TRANSITO</t>
  </si>
  <si>
    <t>LUCRO CESANTE</t>
  </si>
  <si>
    <t>ASEO Y VIGILANCIA</t>
  </si>
  <si>
    <t>TEMPORALES</t>
  </si>
  <si>
    <t>PROCESAMIENTO ELECTRONICO DE DATOS</t>
  </si>
  <si>
    <t>TELEFONO</t>
  </si>
  <si>
    <t>CORREO, PORTES Y TELEGRAMAS</t>
  </si>
  <si>
    <t>FAX Y TELEX</t>
  </si>
  <si>
    <t>TRANSPORTE, FLETES Y ACARREOS</t>
  </si>
  <si>
    <t>GAS</t>
  </si>
  <si>
    <t>NOTARIALES</t>
  </si>
  <si>
    <t>REGISTRO MERCANTIL</t>
  </si>
  <si>
    <t>TRAMITES Y LICENCIAS</t>
  </si>
  <si>
    <t>ADUANEROS</t>
  </si>
  <si>
    <t>CONSULARES</t>
  </si>
  <si>
    <t>MANTENIMIENTO Y REPARACIONES</t>
  </si>
  <si>
    <t>ADECUACION E INSTALACION</t>
  </si>
  <si>
    <t>INSTALACIONES ELECTRICAS</t>
  </si>
  <si>
    <t>ARREGLOS ORNAMENTALES</t>
  </si>
  <si>
    <t>REPARACIONES LOCATIVAS</t>
  </si>
  <si>
    <t>ALOJAMIENTO Y MANUTENCION</t>
  </si>
  <si>
    <t>PASAJES FLUVIALES Y/O MARITIMOS</t>
  </si>
  <si>
    <t>PASAJES AEREOS</t>
  </si>
  <si>
    <t>PASAJES TERRESTRES</t>
  </si>
  <si>
    <t>PASAJES FERREOS</t>
  </si>
  <si>
    <t>DEPRECIACIONES</t>
  </si>
  <si>
    <t>AMORTIZACIONES</t>
  </si>
  <si>
    <t>MUSICA AMBIENTAL</t>
  </si>
  <si>
    <t>TAXIS Y BUSES</t>
  </si>
  <si>
    <t>MICROFILMACION</t>
  </si>
  <si>
    <t>CASINO Y RESTAURANTE</t>
  </si>
  <si>
    <t>PARQUEADEROS</t>
  </si>
  <si>
    <t>INDEMNIZACION POR DAÑOS A TERCEROS</t>
  </si>
  <si>
    <t>POLVORA Y SIMILARES</t>
  </si>
  <si>
    <t>PROPIEDADES, PLANTA Y EQUIPO</t>
  </si>
  <si>
    <t>OPERACIONALES DE VENTAS</t>
  </si>
  <si>
    <t>REVISORIA FISCAL</t>
  </si>
  <si>
    <t>LICORES</t>
  </si>
  <si>
    <t>CERVEZAS</t>
  </si>
  <si>
    <t>CIGARRILLOS</t>
  </si>
  <si>
    <t>PROPAGANDA Y PUBLICIDAD</t>
  </si>
  <si>
    <t>FINANCIEROS - REAJUSTE DEL SISTEMA</t>
  </si>
  <si>
    <t>GASTOS EN NEGOCIACION CERTIFICADOS DE CAMBIO</t>
  </si>
  <si>
    <t>GASTOS MANEJO Y EMISION DE BONOS</t>
  </si>
  <si>
    <t>PRIMA AMORTIZADA</t>
  </si>
  <si>
    <t>PERDIDA EN VENTA Y RETIRO DE BIENES</t>
  </si>
  <si>
    <t>VENTA DE CARTERA</t>
  </si>
  <si>
    <t>VENTA DE PROPIEDADES PLANTA Y EQUIPO</t>
  </si>
  <si>
    <t>VENTA DE INTANGIBLES</t>
  </si>
  <si>
    <t>VENTA DE OTROS ACTIVOS</t>
  </si>
  <si>
    <t>RETIRO DE PROPIEDADES PLANTA Y EQUIPO</t>
  </si>
  <si>
    <t>RETIRO DE OTROS ACTIVOS</t>
  </si>
  <si>
    <t>PERDIDAS POR SINIESTROS</t>
  </si>
  <si>
    <t>GASTOS EXTRAORDINARIOS</t>
  </si>
  <si>
    <t>COSTAS Y PROCESOS JUDICIALES</t>
  </si>
  <si>
    <t>ACTIVIDADES CULTURALES Y CIVICAS</t>
  </si>
  <si>
    <t>COSTOS Y GASTOS DE EJERCICIOS ANTERIORES</t>
  </si>
  <si>
    <t>IMPUESTOS ASUMIDOS</t>
  </si>
  <si>
    <t>GASTOS DIVERSOS</t>
  </si>
  <si>
    <t>DEMANDAS LABORALES</t>
  </si>
  <si>
    <t>DEMANDAS POR INCUMPLIMIENTO DE CONTRATOS</t>
  </si>
  <si>
    <t>MULTAS, SANCIONES Y LITIGIOS</t>
  </si>
  <si>
    <t>CONSTITUCION DE GARANTIAS</t>
  </si>
  <si>
    <t>AMORTIZACION DE BIENES ENTREGADOS EN COMODATO</t>
  </si>
  <si>
    <t>IMPUESTO DE RENTA Y COMPLEMENTARIOS</t>
  </si>
  <si>
    <t>GANANCIAS Y PERDIDAS</t>
  </si>
  <si>
    <t>COSTOS DE VENTAS</t>
  </si>
  <si>
    <t>COSTO DE VENTAS Y DE PRESTACION DE SERVICIOS</t>
  </si>
  <si>
    <t>FORJA, PRENSADO, ESTAMPADO, LAMINADO DE METAL Y</t>
  </si>
  <si>
    <t>ALQUILER DE EQUIPO CON OPERARIO</t>
  </si>
  <si>
    <t>DE SERVICIO DE BOLSA</t>
  </si>
  <si>
    <t>DE MERCANCIAS</t>
  </si>
  <si>
    <t>DE MATERIAS PRIMAS</t>
  </si>
  <si>
    <t>DE MATERIALES INDIRECTOS</t>
  </si>
  <si>
    <t>COMPRA DE ENERGIA</t>
  </si>
  <si>
    <t>DEVOLUCIONES REBAJAS Y DESCUENTOS EN COMPRAS (CR)</t>
  </si>
  <si>
    <t>COSTOS DE PRODUCCION O DE OPERACION</t>
  </si>
  <si>
    <t>MANO DE OBRA DIRECTA</t>
  </si>
  <si>
    <t>COSTOS INDIRECTOS</t>
  </si>
  <si>
    <t>CONTRATOS DE SERVICIOS</t>
  </si>
  <si>
    <t>CUENTAS DE ORDEN DEUDORAS</t>
  </si>
  <si>
    <t>DERECHOS CONTINGENTES</t>
  </si>
  <si>
    <t>BIENES Y VALORES ENTREGADOS EN CUSTODIA</t>
  </si>
  <si>
    <t>VALORES MOBILIARIOS</t>
  </si>
  <si>
    <t>BIENES MUEBLES</t>
  </si>
  <si>
    <t>BIENES Y VALORES ENTREGADOS EN GARANTIA</t>
  </si>
  <si>
    <t>BIENES INMUEBLES</t>
  </si>
  <si>
    <t>CONTRATOS DE GANADO EN PARTICIPACION</t>
  </si>
  <si>
    <t>BIENES Y VALORES EN PODER DE TERCEROS</t>
  </si>
  <si>
    <t>EN ARRENDAMIENTO</t>
  </si>
  <si>
    <t>EN PRESTAMO</t>
  </si>
  <si>
    <t>EN DEPOSITO</t>
  </si>
  <si>
    <t>EN CONSIGNACION</t>
  </si>
  <si>
    <t>LITIGIOS Y/O DEMANDAS</t>
  </si>
  <si>
    <t>EJECUTIVOS</t>
  </si>
  <si>
    <t>INCUMPLIMIENTO DE CONTRATOS</t>
  </si>
  <si>
    <t>VALORES ADQUIRIDOS POR RECIBIR</t>
  </si>
  <si>
    <t>AJUSTES POR INFLACION.</t>
  </si>
  <si>
    <t>DEUDORAS FISCALES</t>
  </si>
  <si>
    <t>DEUDORAS DE CONTROL</t>
  </si>
  <si>
    <t>BIENES RECIBIDOS EN ARRENDAMIENTO FINANCIERO</t>
  </si>
  <si>
    <t>TITULOS DE INVERSION NO COLOCADOS</t>
  </si>
  <si>
    <t>PROPIEDADES PLANTA Y EQUIPO TOTALMENTE DEPRECIADOS, AGOTADOS Y/O AMORTIZADOS</t>
  </si>
  <si>
    <t>CREDITOS A FAVOR NO UTILIZADOS</t>
  </si>
  <si>
    <t>PAIS</t>
  </si>
  <si>
    <t>EXTERIOR</t>
  </si>
  <si>
    <t>ACTIVOS CASTIGADOS</t>
  </si>
  <si>
    <t>TITULOS DE INVERSION AMORTIZADOS</t>
  </si>
  <si>
    <t>CAPITALIZACION POR REVALORIZACION DE PATRIMONIO</t>
  </si>
  <si>
    <t>OTRAS CUENTAS DEUDORAS DE CONTROL</t>
  </si>
  <si>
    <t>CHEQUES POSTFECHADOS</t>
  </si>
  <si>
    <t>CERTIFICADOS DE DEPOSITO A TERMINO</t>
  </si>
  <si>
    <t>CHEQUES DEVUELTOS</t>
  </si>
  <si>
    <t>BIENES Y VALORES EN FIDEICOMISO</t>
  </si>
  <si>
    <t>INTERESES SOBRE DEUDAS VENCIDAS</t>
  </si>
  <si>
    <t>AJUSTES POR INFLACION ACTIVOS</t>
  </si>
  <si>
    <t>DERECHOS CONTINGENTES POR CONTRA (CR)</t>
  </si>
  <si>
    <t>DEUDORAS FISCALES POR CONTRA (CR)</t>
  </si>
  <si>
    <t>DEUDORAS DE CONTROL POR CONTRA (CR)</t>
  </si>
  <si>
    <t>CUENTAS DE ORDEN ACREEDORAS</t>
  </si>
  <si>
    <t>RESPONSABILIDADES CONTINGENTES</t>
  </si>
  <si>
    <t>BIENES Y VALORES RECIBIDOS EN CUSTODIA</t>
  </si>
  <si>
    <t>BIENES Y VALORES RECIBIDOS EN GARANTIA</t>
  </si>
  <si>
    <t>BIENES Y VALORES RECIBIDOS DE TERCEROS</t>
  </si>
  <si>
    <t>EN COMODATO</t>
  </si>
  <si>
    <t>ADMINISTRATIVOS O ARBITRALES</t>
  </si>
  <si>
    <t>TRIBUTARIOS</t>
  </si>
  <si>
    <t>CONTRATOS DE ADMINISTRACION DELEGADA</t>
  </si>
  <si>
    <t>OTRAS RESPONSABILIDADES CONTINGENTES</t>
  </si>
  <si>
    <t>ACREEDORAS FISCALES</t>
  </si>
  <si>
    <t>ACREEDORAS DE CONTROL</t>
  </si>
  <si>
    <t>CONTRATOS DE ARRENDAMIENTO FINANCIERO</t>
  </si>
  <si>
    <t>OTRAS CUENTAS DE ORDEN ACREEDORAS DE CONTROL</t>
  </si>
  <si>
    <t>DOCUMENTOS POR COBRAR DESCONTADOS</t>
  </si>
  <si>
    <t>CONVENIOS DE PAGO</t>
  </si>
  <si>
    <t>CONTRATOS DE CONSTRUCCIONES E INSTALACIONES POR EJECUTAR</t>
  </si>
  <si>
    <t>PEDIDOS COLOCADOS</t>
  </si>
  <si>
    <t>ADJUDICACIONES PENDIENTES DE LEGALIZAR</t>
  </si>
  <si>
    <t>RESERVA ARTICULO 3o. LEY 4/80</t>
  </si>
  <si>
    <t>RESERVA COSTO REPOSICION SEMOVIENTES</t>
  </si>
  <si>
    <t>AJUSTES POR INFLACION PATRIMONIO</t>
  </si>
  <si>
    <t>DIVIDENDOS O PARTICIPACIONES DECRETADAS EN ACCIONES, CUOTAS O PARTES DE INTERES SOCIAL</t>
  </si>
  <si>
    <t>RESPONSABILIDADES CONTINGENTES POR CONTRA (DB)</t>
  </si>
  <si>
    <t>ACREEDORAS FISCALES POR CONTRA (DB)</t>
  </si>
  <si>
    <t>ACREEDORAS DE CONTROL POR CONTRA (DB)</t>
  </si>
  <si>
    <t>concat</t>
  </si>
  <si>
    <t>aquí</t>
  </si>
  <si>
    <t>para dirigirse a la pestaña de Factura, en donde debe agregar la información solicitada</t>
  </si>
  <si>
    <r>
      <t>CLIENTE</t>
    </r>
    <r>
      <rPr>
        <sz val="11"/>
        <color rgb="FFFF0000"/>
        <rFont val="Calibri"/>
        <family val="2"/>
        <scheme val="minor"/>
      </rPr>
      <t>*</t>
    </r>
  </si>
  <si>
    <r>
      <t>CORREO ELECTRÓNICO</t>
    </r>
    <r>
      <rPr>
        <sz val="11"/>
        <color rgb="FFFF0000"/>
        <rFont val="Calibri"/>
        <family val="2"/>
        <scheme val="minor"/>
      </rPr>
      <t>*</t>
    </r>
  </si>
  <si>
    <r>
      <t>TIPO DE DOCUMENTO</t>
    </r>
    <r>
      <rPr>
        <sz val="11"/>
        <color rgb="FFFF0000"/>
        <rFont val="Calibri"/>
        <family val="2"/>
        <scheme val="minor"/>
      </rPr>
      <t>*</t>
    </r>
  </si>
  <si>
    <r>
      <t>NÚMERO DE DOCUMENTO</t>
    </r>
    <r>
      <rPr>
        <sz val="11"/>
        <color rgb="FFFF0000"/>
        <rFont val="Calibri"/>
        <family val="2"/>
        <scheme val="minor"/>
      </rPr>
      <t>*</t>
    </r>
  </si>
  <si>
    <r>
      <t>CIUDAD</t>
    </r>
    <r>
      <rPr>
        <sz val="11"/>
        <color rgb="FFFF0000"/>
        <rFont val="Calibri"/>
        <family val="2"/>
        <scheme val="minor"/>
      </rPr>
      <t>*</t>
    </r>
  </si>
  <si>
    <r>
      <t>DEPARTAMENTO</t>
    </r>
    <r>
      <rPr>
        <sz val="11"/>
        <color rgb="FFFF0000"/>
        <rFont val="Calibri"/>
        <family val="2"/>
        <scheme val="minor"/>
      </rPr>
      <t>*</t>
    </r>
  </si>
  <si>
    <r>
      <t>PAÍS</t>
    </r>
    <r>
      <rPr>
        <sz val="11"/>
        <color rgb="FFFF0000"/>
        <rFont val="Calibri"/>
        <family val="2"/>
        <scheme val="minor"/>
      </rPr>
      <t>*</t>
    </r>
  </si>
  <si>
    <r>
      <t>TIPO DE PAGO</t>
    </r>
    <r>
      <rPr>
        <sz val="11"/>
        <color rgb="FFFF0000"/>
        <rFont val="Calibri"/>
        <family val="2"/>
        <scheme val="minor"/>
      </rPr>
      <t>*</t>
    </r>
  </si>
  <si>
    <r>
      <t>FORMA DE PAGO</t>
    </r>
    <r>
      <rPr>
        <sz val="11"/>
        <color rgb="FFFF0000"/>
        <rFont val="Calibri"/>
        <family val="2"/>
        <scheme val="minor"/>
      </rPr>
      <t>*</t>
    </r>
  </si>
  <si>
    <r>
      <t>TIPO DE CONTRIBUYENTE</t>
    </r>
    <r>
      <rPr>
        <sz val="11"/>
        <color rgb="FFFF0000"/>
        <rFont val="Calibri"/>
        <family val="2"/>
        <scheme val="minor"/>
      </rPr>
      <t>*</t>
    </r>
  </si>
  <si>
    <r>
      <t>SKU/Código de servicio</t>
    </r>
    <r>
      <rPr>
        <sz val="11"/>
        <color rgb="FFFF0000"/>
        <rFont val="Calibri"/>
        <family val="2"/>
        <scheme val="minor"/>
      </rPr>
      <t>*</t>
    </r>
  </si>
  <si>
    <r>
      <t>Producto/Servicio</t>
    </r>
    <r>
      <rPr>
        <sz val="11"/>
        <color rgb="FFFF0000"/>
        <rFont val="Calibri"/>
        <family val="2"/>
        <scheme val="minor"/>
      </rPr>
      <t>*</t>
    </r>
  </si>
  <si>
    <r>
      <t>Cant.</t>
    </r>
    <r>
      <rPr>
        <sz val="11"/>
        <color rgb="FFFF0000"/>
        <rFont val="Calibri"/>
        <family val="2"/>
        <scheme val="minor"/>
      </rPr>
      <t>*</t>
    </r>
  </si>
  <si>
    <r>
      <t>Und. Med</t>
    </r>
    <r>
      <rPr>
        <sz val="11"/>
        <color rgb="FFFF0000"/>
        <rFont val="Calibri"/>
        <family val="2"/>
        <scheme val="minor"/>
      </rPr>
      <t>*</t>
    </r>
  </si>
  <si>
    <r>
      <t>Valor unitario</t>
    </r>
    <r>
      <rPr>
        <sz val="11"/>
        <color rgb="FFFF0000"/>
        <rFont val="Calibri"/>
        <family val="2"/>
        <scheme val="minor"/>
      </rPr>
      <t>*</t>
    </r>
    <r>
      <rPr>
        <sz val="11"/>
        <color theme="1"/>
        <rFont val="Calibri"/>
        <family val="2"/>
        <scheme val="minor"/>
      </rPr>
      <t xml:space="preserve"> </t>
    </r>
  </si>
  <si>
    <r>
      <t>Dto % ó $</t>
    </r>
    <r>
      <rPr>
        <sz val="11"/>
        <color rgb="FFFF0000"/>
        <rFont val="Calibri"/>
        <family val="2"/>
        <scheme val="minor"/>
      </rPr>
      <t>*</t>
    </r>
  </si>
  <si>
    <r>
      <t>Costo de envío</t>
    </r>
    <r>
      <rPr>
        <sz val="11"/>
        <color rgb="FFFF0000"/>
        <rFont val="Calibri"/>
        <family val="2"/>
        <scheme val="minor"/>
      </rPr>
      <t>*</t>
    </r>
    <r>
      <rPr>
        <sz val="11"/>
        <color theme="1"/>
        <rFont val="Calibri"/>
        <family val="2"/>
        <scheme val="minor"/>
      </rPr>
      <t xml:space="preserve"> </t>
    </r>
  </si>
  <si>
    <r>
      <t>Impoconsumo</t>
    </r>
    <r>
      <rPr>
        <sz val="11"/>
        <color rgb="FFFF0000"/>
        <rFont val="Calibri"/>
        <family val="2"/>
        <scheme val="minor"/>
      </rPr>
      <t>*</t>
    </r>
  </si>
  <si>
    <r>
      <t>IVA</t>
    </r>
    <r>
      <rPr>
        <sz val="11"/>
        <color rgb="FFFF0000"/>
        <rFont val="Calibri"/>
        <family val="2"/>
        <scheme val="minor"/>
      </rPr>
      <t>*</t>
    </r>
  </si>
  <si>
    <t>Unidad</t>
  </si>
  <si>
    <t>Par</t>
  </si>
  <si>
    <t>Número de pares</t>
  </si>
  <si>
    <t>Caja</t>
  </si>
  <si>
    <t>Tambor</t>
  </si>
  <si>
    <t>Longitud</t>
  </si>
  <si>
    <t>Centímetro</t>
  </si>
  <si>
    <t>Metro</t>
  </si>
  <si>
    <t>Pulgada</t>
  </si>
  <si>
    <t>Pie</t>
  </si>
  <si>
    <t>Centímetro cuadrado</t>
  </si>
  <si>
    <t>Metro cuadrado</t>
  </si>
  <si>
    <t>Pulgada cuadrada</t>
  </si>
  <si>
    <t>Mililitro</t>
  </si>
  <si>
    <t>Litro</t>
  </si>
  <si>
    <t>Galón</t>
  </si>
  <si>
    <t>Metro cúbico (neto)</t>
  </si>
  <si>
    <t>Metro cúbico</t>
  </si>
  <si>
    <t>Gramo</t>
  </si>
  <si>
    <t>Kilogramo</t>
  </si>
  <si>
    <t>Libra</t>
  </si>
  <si>
    <t>Minuto</t>
  </si>
  <si>
    <t>Unidades de medida</t>
  </si>
  <si>
    <r>
      <rPr>
        <b/>
        <sz val="11"/>
        <color theme="1"/>
        <rFont val="Calibri"/>
        <family val="2"/>
        <scheme val="minor"/>
      </rPr>
      <t>1.</t>
    </r>
    <r>
      <rPr>
        <sz val="11"/>
        <color theme="1"/>
        <rFont val="Calibri"/>
        <family val="2"/>
        <scheme val="minor"/>
      </rPr>
      <t xml:space="preserve"> Haga click</t>
    </r>
  </si>
  <si>
    <t>Venta de:</t>
  </si>
  <si>
    <t>Para continuar a agregar sus facturas, haga click en el botón de Siguiente.</t>
  </si>
  <si>
    <r>
      <rPr>
        <b/>
        <sz val="11"/>
        <color theme="1"/>
        <rFont val="Calibri"/>
        <family val="2"/>
        <scheme val="minor"/>
      </rPr>
      <t xml:space="preserve">2. </t>
    </r>
    <r>
      <rPr>
        <sz val="11"/>
        <color theme="1"/>
        <rFont val="Calibri"/>
        <family val="2"/>
        <scheme val="minor"/>
      </rPr>
      <t>Seleccione en el campo "Venta de", si en su factura tiene productos, servicios o ambos.</t>
    </r>
  </si>
  <si>
    <r>
      <rPr>
        <b/>
        <sz val="11"/>
        <color theme="1"/>
        <rFont val="Calibri"/>
        <family val="2"/>
        <scheme val="minor"/>
      </rPr>
      <t>3.</t>
    </r>
    <r>
      <rPr>
        <sz val="11"/>
        <color theme="1"/>
        <rFont val="Calibri"/>
        <family val="2"/>
        <scheme val="minor"/>
      </rPr>
      <t xml:space="preserve"> Agregue la información solicitada en los campos obligatorios marcados con un asterisco (*)</t>
    </r>
  </si>
  <si>
    <r>
      <rPr>
        <b/>
        <sz val="11"/>
        <color theme="1"/>
        <rFont val="Calibri"/>
        <family val="2"/>
        <scheme val="minor"/>
      </rPr>
      <t xml:space="preserve">4. </t>
    </r>
    <r>
      <rPr>
        <sz val="11"/>
        <color theme="1"/>
        <rFont val="Calibri"/>
        <family val="2"/>
        <scheme val="minor"/>
      </rPr>
      <t>Si su selección en el campo "Venta de" fue "Servicios" ó "Productos y Servicios", agregue la información solicitada en el campo de "Periodo facturado".</t>
    </r>
  </si>
  <si>
    <t>O-53 Persona Jurídica No Responsable de IVA</t>
  </si>
  <si>
    <t>O-54 Intercambio Automático de Información CRS</t>
  </si>
  <si>
    <t>O-55 Informante de Beneficiarios Finales</t>
  </si>
  <si>
    <t>O-56 Impuesto al Carbono</t>
  </si>
  <si>
    <t>03 IVA</t>
  </si>
  <si>
    <t>04 IVA</t>
  </si>
  <si>
    <t>05 IVA</t>
  </si>
  <si>
    <t>OBSERVACIONES</t>
  </si>
  <si>
    <t>Detalle de impuestos</t>
  </si>
  <si>
    <t>04 INC</t>
  </si>
  <si>
    <t>ZA IVA e INC</t>
  </si>
  <si>
    <t>No aplica*</t>
  </si>
  <si>
    <t>DIVISA</t>
  </si>
  <si>
    <t>Concat</t>
  </si>
  <si>
    <t>AFN (Afgani afgano) - Afganistán</t>
  </si>
  <si>
    <t>ALL (Lek albanés) - Albania</t>
  </si>
  <si>
    <t>EUR (Euro) - Alemania</t>
  </si>
  <si>
    <t>EUR (Euro) - Andorra</t>
  </si>
  <si>
    <t>AOA (Kwanza angoleño) - Angola</t>
  </si>
  <si>
    <t>XCD (Dólar del Caribe Oriental) - Antigua y Barbuda</t>
  </si>
  <si>
    <t>SAR (Riyal saudí) - Arabia Saudita</t>
  </si>
  <si>
    <t>DZD (Dinar argelino) - Argelia</t>
  </si>
  <si>
    <t>ARS (Peso) - Argentina</t>
  </si>
  <si>
    <t>AMD (Dram armenio) - Armenia</t>
  </si>
  <si>
    <t>AUD (Dólar australiano) - Australia</t>
  </si>
  <si>
    <t>EUR (Euro) - Austria</t>
  </si>
  <si>
    <t>AZN (Manat azerí) - Azerbaiyán</t>
  </si>
  <si>
    <t>BSD (Dólar bahameño) - Bahamas</t>
  </si>
  <si>
    <t>BDT (Taka bangladeshí) - Bangladés</t>
  </si>
  <si>
    <t>BBD (Dólar de Barbados) - Barbados</t>
  </si>
  <si>
    <t>BHD (Dinar bahreiní) - Baréin</t>
  </si>
  <si>
    <t>EUR (Euro) - Bélgica</t>
  </si>
  <si>
    <t>BZD (Dólar beliceño) - Belice</t>
  </si>
  <si>
    <t>XOF (Franco CFA de África Occidental) - Benín</t>
  </si>
  <si>
    <t>BYN (Rublo bielorruso) - Bielorrusia</t>
  </si>
  <si>
    <t>MMK (Kyat birmano) - Birmania</t>
  </si>
  <si>
    <t>BOB (Boliviano) - Bolivia</t>
  </si>
  <si>
    <t>BAM (Marco convertible) - Bosnia-Herzegovina</t>
  </si>
  <si>
    <t>BWP (Pula) - Botsuana</t>
  </si>
  <si>
    <t>BRL (Real brasileño) - Brasil</t>
  </si>
  <si>
    <t>BND (Dólar de Brunéi) - Brunéi</t>
  </si>
  <si>
    <t>BGN (Lev búlgaro) - Bulgaria</t>
  </si>
  <si>
    <t>XOF (Franco CFA de África Occidental) - Burkina Faso</t>
  </si>
  <si>
    <t>BIF (Franco de Burundi) - Burundi</t>
  </si>
  <si>
    <t>BTN (Ngultrum butanés) - Bután</t>
  </si>
  <si>
    <t>CVE (Escudo caboverdiano) - Cabo Verde</t>
  </si>
  <si>
    <t>KHR (Riel camboyano) - Camboya</t>
  </si>
  <si>
    <t>XAF (Franco CFA de África Central) - Camerún</t>
  </si>
  <si>
    <t>CAD (Dólar canadiense) - Canadá</t>
  </si>
  <si>
    <t>QAR (Riyal qatarí) - Catar</t>
  </si>
  <si>
    <t>XAF (Franco CFA de África Central) - Chad</t>
  </si>
  <si>
    <t>CLP (Peso chileno) - Chile</t>
  </si>
  <si>
    <t>CNY (Yuan chino) - China</t>
  </si>
  <si>
    <t>EUR (Euro) - Chipre</t>
  </si>
  <si>
    <t>COP (Peso colombiano) - Colombia</t>
  </si>
  <si>
    <t>KMF (Franco comorano) - Comoras</t>
  </si>
  <si>
    <t>XAF (Franco CFA de África Central) - Congo</t>
  </si>
  <si>
    <t>KPW (Won norcoreano) - Corea del Norte</t>
  </si>
  <si>
    <t>KRW (Won surcoreano) - Corea del Sur</t>
  </si>
  <si>
    <t>XOF (Franco CFA de África Occidental) - Costa de Marfil</t>
  </si>
  <si>
    <t>CRC (Colón costarricense) - Costa Rica</t>
  </si>
  <si>
    <t>HRK (Kuna croata) - Croacia</t>
  </si>
  <si>
    <t>CUP (Peso cubano) - Cuba</t>
  </si>
  <si>
    <t>DKK (Corona danesa) - Dinamarca</t>
  </si>
  <si>
    <t>XCD (Dólar del Caribe Oriental) - Dominica</t>
  </si>
  <si>
    <t>USD (Dólar estadounidense) - Ecuador</t>
  </si>
  <si>
    <t>EGP (Libra egipcia) - Egipto</t>
  </si>
  <si>
    <t>USD (Dólar estadounidense) - El Salvador</t>
  </si>
  <si>
    <t>AED (Dirham de los Emiratos Árabes Unidos) - Emiratos Árabes Unidos</t>
  </si>
  <si>
    <t>ERN (Nakfa) - Eritrea</t>
  </si>
  <si>
    <t>EUR (Euro) - Eslovaquia</t>
  </si>
  <si>
    <t>EUR (Euro) - Eslovenia</t>
  </si>
  <si>
    <t>EUR (Euro) - España</t>
  </si>
  <si>
    <t>USD (Dólar estadounidense) - Estados Unidos</t>
  </si>
  <si>
    <t>EUR (Euro) - Estonia</t>
  </si>
  <si>
    <t>SZL (Lilangeni) - Esuatini</t>
  </si>
  <si>
    <t>ETB (Birr etíope) - Etiopía</t>
  </si>
  <si>
    <t>PHP (Peso filipino) - Filipinas</t>
  </si>
  <si>
    <t>EUR (Euro) - Finlandia</t>
  </si>
  <si>
    <t>FJD (Dólar fiyiano) - Fiyi</t>
  </si>
  <si>
    <t>EUR (Euro) - Francia</t>
  </si>
  <si>
    <t>XAF (Franco CFA de África Central) - Gabón</t>
  </si>
  <si>
    <t>GMD (Dalasi) - Gambia</t>
  </si>
  <si>
    <t>GEL (Lari georgiano) - Georgia</t>
  </si>
  <si>
    <t>GHS (Cedi) - Ghana</t>
  </si>
  <si>
    <t>XCD (Dólar del Caribe Oriental) - Granada</t>
  </si>
  <si>
    <t>EUR (Euro) - Grecia</t>
  </si>
  <si>
    <t>GTQ (Quetzal guatemalteco) - Guatemala</t>
  </si>
  <si>
    <t>GNF (Franco guineano) - Guinea</t>
  </si>
  <si>
    <t>XAF (Franco CFA de África Central) - Guinea Ecuatorial</t>
  </si>
  <si>
    <t>XOF (Franco CFA de África Occidental) - Guinea-Bisáu</t>
  </si>
  <si>
    <t>GYD (Dólar guyanés) - Guyana</t>
  </si>
  <si>
    <t>HTG (Gourde haitiano) - Haití</t>
  </si>
  <si>
    <t>HNL (Lempira hondureño) - Honduras</t>
  </si>
  <si>
    <t>HUF (Forinto húngaro) - Hungría</t>
  </si>
  <si>
    <t>INR (Rupia india) - India</t>
  </si>
  <si>
    <t>IDR (Rupia indonesia) - Indonesia</t>
  </si>
  <si>
    <t>IQD (Dinar iraquí) - Irak</t>
  </si>
  <si>
    <t>IRR (Rial iraní) - Irán</t>
  </si>
  <si>
    <t>EUR (Euro) - Irlanda</t>
  </si>
  <si>
    <t>ISK (Corona islandes) - Islandia</t>
  </si>
  <si>
    <t>USD (Dólar estadounidense) - Islas Marshall</t>
  </si>
  <si>
    <t>SBD (Dólar de las Islas Salomón) - Islas Salomón</t>
  </si>
  <si>
    <t>ILS (Nuevo shéquel) - Israel</t>
  </si>
  <si>
    <t>EUR (Euro) - Italia</t>
  </si>
  <si>
    <t>JMD (Dólar jamaiquino) - Jamaica</t>
  </si>
  <si>
    <t>JPY (Yen) - Japón</t>
  </si>
  <si>
    <t>JOD (Dinar jordano) - Jordania</t>
  </si>
  <si>
    <t>KZT (Tenge kazajo) - Kazajistán</t>
  </si>
  <si>
    <t>KES (Chelín keniano) - Kenia</t>
  </si>
  <si>
    <t>KGS (Som kirguís) - Kirguistán</t>
  </si>
  <si>
    <t>AUD (Dólar australiano) - Kiribati</t>
  </si>
  <si>
    <t>EUR (Euro) - Kosovo</t>
  </si>
  <si>
    <t>KWD (Dinar kuwaití) - Kuwait</t>
  </si>
  <si>
    <t>LAK (Kip laosiano) - Laos</t>
  </si>
  <si>
    <t>LSL (Loti) - Lesoto</t>
  </si>
  <si>
    <t>EUR (Euro) - Letonia</t>
  </si>
  <si>
    <t>LBP (Libra libanesa) - Líbano</t>
  </si>
  <si>
    <t>LRD (Dólar liberiano) - Liberia</t>
  </si>
  <si>
    <t>LYD (Dinar libio) - Libia</t>
  </si>
  <si>
    <t>CHF (Franco suizo) - Liechtenstein</t>
  </si>
  <si>
    <t>EUR (Euro) - Lituania</t>
  </si>
  <si>
    <t>EUR (Euro) - Luxemburgo</t>
  </si>
  <si>
    <t>MKD (Denar macedonio) - Macedonia del Norte</t>
  </si>
  <si>
    <t>MGA (Ariary malgache) - Madagascar</t>
  </si>
  <si>
    <t>MYR (Ringgit malayo) - Malasia</t>
  </si>
  <si>
    <t>MWK (Kwacha malauí) - Malaui</t>
  </si>
  <si>
    <t>MVR (Rupia de Maldivas) - Maldivas</t>
  </si>
  <si>
    <t>XOF (Franco CFA de África Occidental) - Malí</t>
  </si>
  <si>
    <t>EUR (Euro) - Malta</t>
  </si>
  <si>
    <t>MAD (Dirham marroquí) - Marruecos</t>
  </si>
  <si>
    <t>MUR (Rupia de Mauricio) - Mauricio</t>
  </si>
  <si>
    <t>MRO (Uguiya) - Mauritania</t>
  </si>
  <si>
    <t>MXN (Peso mexicano) - México</t>
  </si>
  <si>
    <t>USD (Dólar estadounidense) - Micronesia</t>
  </si>
  <si>
    <t>MDL (Leu moldavo) - Moldavia</t>
  </si>
  <si>
    <t>EUR (Euro) - Mónaco</t>
  </si>
  <si>
    <t>MNT (Tugrik mongol) - Mongolia</t>
  </si>
  <si>
    <t>EUR (Euro) - Montenegro</t>
  </si>
  <si>
    <t>MZN (Metical mozambiqueño) - Mozambique</t>
  </si>
  <si>
    <t>NAD (Dólar namibio) - Namibia</t>
  </si>
  <si>
    <t>AUD (Dólar australiano) - Nauru</t>
  </si>
  <si>
    <t>NPR (Rupia nepalí) - Nepal</t>
  </si>
  <si>
    <t>NIO (Córdoba nicaragüense) - Nicaragua</t>
  </si>
  <si>
    <t>XOF (Franco CFA de África Occidental) - Níger</t>
  </si>
  <si>
    <t>NGN (Naira) - Nigeria</t>
  </si>
  <si>
    <t>NOK (Corona noruega) - Noruega</t>
  </si>
  <si>
    <t>NZD (Dólar neozelandés) - Nueva Zelanda</t>
  </si>
  <si>
    <t>OMR (Rial omaní) - Omán</t>
  </si>
  <si>
    <t>EUR (Euro) - Países Bajos</t>
  </si>
  <si>
    <t>PKR (Rupia pakistaní) - Pakistán</t>
  </si>
  <si>
    <t>USD (Dólar estadounidense) - Palaos</t>
  </si>
  <si>
    <t>ILS (Nuevo shéquel) - Palestina</t>
  </si>
  <si>
    <t>PAB (Balboa panameño) - Panamá</t>
  </si>
  <si>
    <t>PGK (Kina) - Papúa Nueva Guinea</t>
  </si>
  <si>
    <t>PYG (Guaraní) - Paraguay</t>
  </si>
  <si>
    <t>PEN (Nuevo sol) - Perú</t>
  </si>
  <si>
    <t>PLN (Zloty) - Polonia</t>
  </si>
  <si>
    <t>EUR (Euro) - Portugal</t>
  </si>
  <si>
    <t>GBP (Libra británica) - Reino Unido</t>
  </si>
  <si>
    <t>XAF (Franco CFA de África Central) - República Centroafricana</t>
  </si>
  <si>
    <t>CZK (Corona checa) - República Checa</t>
  </si>
  <si>
    <t>CDF (Franco congoleño) - República Democrática del Congo</t>
  </si>
  <si>
    <t>DOP (Peso dominicano) - República Dominicana</t>
  </si>
  <si>
    <t>RWF (Franco ruandés) - Ruanda</t>
  </si>
  <si>
    <t>RON (Leu rumano) - Rumania</t>
  </si>
  <si>
    <t>RUB (Rublo ruso) - Rusia</t>
  </si>
  <si>
    <t>WST (Tala) - Samoa</t>
  </si>
  <si>
    <t>XCD (Dólar del Caribe Oriental) - San Cristóbal y Nieves</t>
  </si>
  <si>
    <t>EUR (Euro) - San Marino</t>
  </si>
  <si>
    <t>XCD (Dólar del Caribe Oriental) - San Vicente y las Granadinas</t>
  </si>
  <si>
    <t>XCD (Dólar del Caribe Oriental) - Santa Lucía</t>
  </si>
  <si>
    <t>STD (Dobra) - Santo Tomé y Príncipe</t>
  </si>
  <si>
    <t>XOF (Franco CFA de África Occidental) - Senegal</t>
  </si>
  <si>
    <t>RSD (Dinar serbio) - Serbia</t>
  </si>
  <si>
    <t>SCR (Rupia de Seychelles) - Seychelles</t>
  </si>
  <si>
    <t>SLL (Leone) - Sierra Leona</t>
  </si>
  <si>
    <t>SGD (Dólar de Singapur) - Singapur</t>
  </si>
  <si>
    <t>SYP (Libra siria) - Siria</t>
  </si>
  <si>
    <t>SOS (Chelín somalí) - Somalia</t>
  </si>
  <si>
    <t>LKR (Rupia de Sri Lanka) - Sri Lanka</t>
  </si>
  <si>
    <t>ZAR (Rand sudafricano) - Sudáfrica</t>
  </si>
  <si>
    <t>SDG (Libra sudanesa) - Sudán</t>
  </si>
  <si>
    <t>SSP (Libra sursudanesa) - Sudán del Sur</t>
  </si>
  <si>
    <t>SEK (Corona sueca) - Suecia</t>
  </si>
  <si>
    <t>CHF (Franco suizo) - Suiza</t>
  </si>
  <si>
    <t>SRD (Dólar surinamés) - Surinam</t>
  </si>
  <si>
    <t>THB (Baht tailandés) - Tailandia</t>
  </si>
  <si>
    <t>TWD (Nuevo dólar taiwanés) - Taiwán</t>
  </si>
  <si>
    <t>TZS (Chelín tanzano) - Tanzania</t>
  </si>
  <si>
    <t>TJS (Somoni tayiko) - Tayikistán</t>
  </si>
  <si>
    <t>USD (Dólar estadounidense) - Timor Oriental</t>
  </si>
  <si>
    <t>XOF (Franco CFA de África Occidental) - Togo</t>
  </si>
  <si>
    <t>TOP (Pa'anga) - Tonga</t>
  </si>
  <si>
    <t>TTD (Dólar trinitense) - Trinidad y Tobago</t>
  </si>
  <si>
    <t>TND (Dinar tunecino) - Túnez</t>
  </si>
  <si>
    <t>TMT (Manat turcomano) - Turkmenistán</t>
  </si>
  <si>
    <t>TRY (Lira turca) - Turquía</t>
  </si>
  <si>
    <t>AUD (Dólar australiano) - Tuvalu</t>
  </si>
  <si>
    <t>UAH (Grivna) - Ucrania</t>
  </si>
  <si>
    <t>UGX (Chelín ugandés) - Uganda</t>
  </si>
  <si>
    <t>UYU (Peso uruguayo) - Uruguay</t>
  </si>
  <si>
    <t>UZS (Som uzbeko) - Uzbekistán</t>
  </si>
  <si>
    <t>VUV (Vatu) - Vanuatu</t>
  </si>
  <si>
    <t>EUR (Euro) - Vaticano</t>
  </si>
  <si>
    <t>VEF (Bolívar fuerte) - Venezuela</t>
  </si>
  <si>
    <t>VND (Dong vietnamita) - Vietnam</t>
  </si>
  <si>
    <t>YER (Rial yemení) - Yemen</t>
  </si>
  <si>
    <t>DJF (Franco yibutiano) - Yibuti</t>
  </si>
  <si>
    <t>ZMW (Kwacha zambiano) - Zambia</t>
  </si>
  <si>
    <t>USD (Dólar estadounidense) - Zimbabue</t>
  </si>
  <si>
    <t>O-23 Agente de retención IVA</t>
  </si>
  <si>
    <t>R-99-PN No aplica - Otros *</t>
  </si>
  <si>
    <t>CLIENTE</t>
  </si>
  <si>
    <t>CORREO ELECTRÓNICO</t>
  </si>
  <si>
    <t>TIPO DE DOCUMENTO</t>
  </si>
  <si>
    <t>NÚMERO DE DOCUMENTO</t>
  </si>
  <si>
    <t>CIUDAD</t>
  </si>
  <si>
    <t>PAÍS</t>
  </si>
  <si>
    <t>TIPO DE PAGO</t>
  </si>
  <si>
    <t>FORMA DE PAGO</t>
  </si>
  <si>
    <t>TIPO DE CONTRIBUYENTE</t>
  </si>
  <si>
    <t>RESPONSABILIDAD FISCAL</t>
  </si>
  <si>
    <t>BASE-01 IVA</t>
  </si>
  <si>
    <t>BASE-02 IVA</t>
  </si>
  <si>
    <t>BASE-03 IVA</t>
  </si>
  <si>
    <t>BASE-04 IVA</t>
  </si>
  <si>
    <t>BASE-05 IVA</t>
  </si>
  <si>
    <t>BASE-06 RETEFUENTE</t>
  </si>
  <si>
    <t>BASE-07 RETEICA</t>
  </si>
  <si>
    <t>VALOR-01 IVA</t>
  </si>
  <si>
    <t>VALOR-02 IVA</t>
  </si>
  <si>
    <t>VALOR-03 IVA</t>
  </si>
  <si>
    <t>VALOR-04 IVA</t>
  </si>
  <si>
    <t>VALOR-05 IVA</t>
  </si>
  <si>
    <t>TOTAL VENTA</t>
  </si>
  <si>
    <t>TOTAL DESCUENTO</t>
  </si>
  <si>
    <t>TOTAL VALOR VENTA</t>
  </si>
  <si>
    <t>TOTAL IVA</t>
  </si>
  <si>
    <t>IMPOCONSUMO*</t>
  </si>
  <si>
    <t>RETEFUENTE</t>
  </si>
  <si>
    <t xml:space="preserve">RETEICA </t>
  </si>
  <si>
    <t xml:space="preserve">RETEIVA </t>
  </si>
  <si>
    <t>NÚMERO DE FACTURA</t>
  </si>
  <si>
    <t>Meses 2</t>
  </si>
  <si>
    <t>Tipo de pago</t>
  </si>
  <si>
    <t>Crédito</t>
  </si>
  <si>
    <t>De contado</t>
  </si>
  <si>
    <t>DEPARTAMENTO</t>
  </si>
  <si>
    <t>DETALLES DE EMPUESTOS</t>
  </si>
  <si>
    <t>VALOR-06 RETEFUENTE</t>
  </si>
  <si>
    <t>VALOR-07 RETEICA</t>
  </si>
  <si>
    <t>Lote</t>
  </si>
  <si>
    <t>Descripción</t>
  </si>
  <si>
    <t>LOTE</t>
  </si>
  <si>
    <t>FECHA DE VENCIMIENTO</t>
  </si>
  <si>
    <t>DESCRIPCIÓN</t>
  </si>
  <si>
    <t>VENTA</t>
  </si>
  <si>
    <t>VALOR VENTA</t>
  </si>
  <si>
    <t>Fecha de vencimiento (dd/mm/aaaa)</t>
  </si>
  <si>
    <r>
      <rPr>
        <b/>
        <sz val="11"/>
        <color theme="1"/>
        <rFont val="Calibri"/>
        <family val="2"/>
        <scheme val="minor"/>
      </rPr>
      <t>5.</t>
    </r>
    <r>
      <rPr>
        <sz val="11"/>
        <color theme="1"/>
        <rFont val="Calibri"/>
        <family val="2"/>
        <scheme val="minor"/>
      </rPr>
      <t xml:space="preserve"> Para agregar el número de la factura en el campo de "Factura de venta", diríjase a la pantalla de documentos emitidos y tenga en cuenta el número del documento emitido más reciente, y agregue en el campo de "Factura de venta" en siguiente número.</t>
    </r>
  </si>
  <si>
    <t>Dto ($)</t>
  </si>
  <si>
    <t>DTO $</t>
  </si>
  <si>
    <r>
      <t>DIVISA</t>
    </r>
    <r>
      <rPr>
        <sz val="11"/>
        <color rgb="FFFF0000"/>
        <rFont val="Calibri"/>
        <family val="2"/>
        <scheme val="minor"/>
      </rPr>
      <t>*</t>
    </r>
  </si>
  <si>
    <r>
      <t>DETALLE DE IMPUESTOS</t>
    </r>
    <r>
      <rPr>
        <sz val="11"/>
        <color rgb="FFFF0000"/>
        <rFont val="Calibri"/>
        <family val="2"/>
        <scheme val="minor"/>
      </rPr>
      <t>*</t>
    </r>
  </si>
  <si>
    <t>PREFIJO</t>
  </si>
  <si>
    <t>SKU/CÓDIGO DE SERVICIO</t>
  </si>
  <si>
    <t>PRODUCTO/SERVICIO</t>
  </si>
  <si>
    <t>BODEGA</t>
  </si>
  <si>
    <t>IVA</t>
  </si>
  <si>
    <t>IMPOCONSUMO</t>
  </si>
  <si>
    <t>COSTO DE ENVÍO</t>
  </si>
  <si>
    <t>VALOR UNITARIO</t>
  </si>
  <si>
    <t>UND. MED</t>
  </si>
  <si>
    <t>CANT.</t>
  </si>
  <si>
    <t>TARIFA-06 RETEFUENTE</t>
  </si>
  <si>
    <t>TARIFA-07 RETEICA</t>
  </si>
  <si>
    <r>
      <t xml:space="preserve">En este excel podrá agregar la información de sus facturas realizadas manualmente durante el día. Cada factura será agregada de manera individual. Una vez haya terminado de agregar la información de una factura, cuenta con 3 opciones:
</t>
    </r>
    <r>
      <rPr>
        <b/>
        <sz val="11"/>
        <color theme="1"/>
        <rFont val="Calibri"/>
        <family val="2"/>
        <scheme val="minor"/>
      </rPr>
      <t>1.</t>
    </r>
    <r>
      <rPr>
        <sz val="11"/>
        <color theme="1"/>
        <rFont val="Calibri"/>
        <family val="2"/>
        <scheme val="minor"/>
      </rPr>
      <t xml:space="preserve"> Guardar y agregar otra factura: Esta opción le permite guardar la información agregada de la factura y continuar a agregar la información de otra factura
</t>
    </r>
    <r>
      <rPr>
        <b/>
        <sz val="11"/>
        <color theme="1"/>
        <rFont val="Calibri"/>
        <family val="2"/>
        <scheme val="minor"/>
      </rPr>
      <t xml:space="preserve">2. </t>
    </r>
    <r>
      <rPr>
        <sz val="11"/>
        <color theme="1"/>
        <rFont val="Calibri"/>
        <family val="2"/>
        <scheme val="minor"/>
      </rPr>
      <t xml:space="preserve">Guardar y finalizar: Esta opción le permite guardar la información agregada de las facturas, guardar el Excel y dirigirse a una tabla de resumen en la que podrá ver la información agregada de todas sus facturas. Se debe hacer click sobre esta opción, una vez se hayan agregado la última factura.
</t>
    </r>
    <r>
      <rPr>
        <b/>
        <sz val="11"/>
        <color theme="1"/>
        <rFont val="Calibri"/>
        <family val="2"/>
        <scheme val="minor"/>
      </rPr>
      <t>3.</t>
    </r>
    <r>
      <rPr>
        <sz val="11"/>
        <color theme="1"/>
        <rFont val="Calibri"/>
        <family val="2"/>
        <scheme val="minor"/>
      </rPr>
      <t xml:space="preserve"> Borrar datos: Esta opción le permite eliminar la información agregada en los campos en la factura. Tenga en cuenta que si hace click en este botón antes de guardar, la información agregada no se guardará.
Para agregar la información, siga la serie de pasos que se explican a continuación:</t>
    </r>
  </si>
  <si>
    <t>ORDEN DE COMPRA</t>
  </si>
  <si>
    <r>
      <rPr>
        <b/>
        <sz val="11"/>
        <color theme="1"/>
        <rFont val="Calibri"/>
        <family val="2"/>
        <scheme val="minor"/>
      </rPr>
      <t>6.</t>
    </r>
    <r>
      <rPr>
        <sz val="11"/>
        <color theme="1"/>
        <rFont val="Calibri"/>
        <family val="2"/>
        <scheme val="minor"/>
      </rPr>
      <t xml:space="preserve"> En el campo "Orden de compra" agregue el número de la orden de compra asociada a su factura de venta.</t>
    </r>
  </si>
  <si>
    <r>
      <rPr>
        <b/>
        <sz val="11"/>
        <color theme="1"/>
        <rFont val="Calibri"/>
        <family val="2"/>
        <scheme val="minor"/>
      </rPr>
      <t>7.</t>
    </r>
    <r>
      <rPr>
        <sz val="11"/>
        <color theme="1"/>
        <rFont val="Calibri"/>
        <family val="2"/>
        <scheme val="minor"/>
      </rPr>
      <t xml:space="preserve"> En el campo "Prefijo" escriba el prefijo utilizado para sus facturas electrónicas. Este lo puede consultar en la pantalla de Parametrización y personalización factura electrónica en FamiEFI. </t>
    </r>
  </si>
  <si>
    <t>Persona natural</t>
  </si>
  <si>
    <t>Persona jurídica</t>
  </si>
  <si>
    <t>Spray pequeño</t>
  </si>
  <si>
    <t>Levantar</t>
  </si>
  <si>
    <t>Lote calor</t>
  </si>
  <si>
    <t>Grupo</t>
  </si>
  <si>
    <t>Equipar</t>
  </si>
  <si>
    <t>Ración</t>
  </si>
  <si>
    <t>Disparo</t>
  </si>
  <si>
    <t>Palo</t>
  </si>
  <si>
    <t>Tambor de ciento quince kg</t>
  </si>
  <si>
    <t>Tambor de cien libras</t>
  </si>
  <si>
    <t>Tambor de cincuenta y cinco galones (us)</t>
  </si>
  <si>
    <t>Camión cisterna</t>
  </si>
  <si>
    <t>Contenedor de veinte pies</t>
  </si>
  <si>
    <t>Contenedor de cuarenta pies</t>
  </si>
  <si>
    <t>Decilitro por gramo</t>
  </si>
  <si>
    <t>Gramo por centímetro cúbico</t>
  </si>
  <si>
    <t>Libra teórica</t>
  </si>
  <si>
    <t>Gramo por centímetro cuadrado</t>
  </si>
  <si>
    <t>Tonelada real</t>
  </si>
  <si>
    <t>Tonelada teórica</t>
  </si>
  <si>
    <t>Kilogramo por metro cuadrado</t>
  </si>
  <si>
    <t>Libra por mil pies cuadrados</t>
  </si>
  <si>
    <t>Día de potencia del caballo por tonelada métrica seca al aire.</t>
  </si>
  <si>
    <t>Coger peso</t>
  </si>
  <si>
    <t>Kilogramo por aire seco tonelada métrica</t>
  </si>
  <si>
    <t>Kilopascales metros cuadrados por gramo</t>
  </si>
  <si>
    <t>Kilopascales por milímetro</t>
  </si>
  <si>
    <t>Mililitros por centímetro cuadrado segundo</t>
  </si>
  <si>
    <t>Pies cúbicos por minuto por pie cuadrado</t>
  </si>
  <si>
    <t>Onza por pie cuadrado</t>
  </si>
  <si>
    <t>Onzas por pie cuadrado por 0,01 pulgadas</t>
  </si>
  <si>
    <t>Mililitro por segundo</t>
  </si>
  <si>
    <t>Mililitro por minuto</t>
  </si>
  <si>
    <t>Bolsa súper a granel</t>
  </si>
  <si>
    <t>Bolsa a granel de quinientos kg</t>
  </si>
  <si>
    <t>Bolsa a granel de trescientos kg</t>
  </si>
  <si>
    <t>Bolsa a granel de cincuenta libras</t>
  </si>
  <si>
    <t>Bolsa de cincuenta libras</t>
  </si>
  <si>
    <t>Carga de automóviles a granel</t>
  </si>
  <si>
    <t>Kilogramos teóricos</t>
  </si>
  <si>
    <t>Sitas</t>
  </si>
  <si>
    <t>Malla</t>
  </si>
  <si>
    <t>Kilogramo neto</t>
  </si>
  <si>
    <t>Parte por millón</t>
  </si>
  <si>
    <t>Porcentaje de peso</t>
  </si>
  <si>
    <t>Parte por billón (us)</t>
  </si>
  <si>
    <t>Porcentaje por 1000 horas</t>
  </si>
  <si>
    <t>Tasa de fracaso en el tiempo</t>
  </si>
  <si>
    <t>Libra por pulgada cuadrada, calibre</t>
  </si>
  <si>
    <t>Oersted</t>
  </si>
  <si>
    <t>Prueba de escala específica</t>
  </si>
  <si>
    <t>Voltio amperio por libra</t>
  </si>
  <si>
    <t>Vatio por libra</t>
  </si>
  <si>
    <t>Amperio tum por centímetro</t>
  </si>
  <si>
    <t>Milipascal</t>
  </si>
  <si>
    <t>Gauss</t>
  </si>
  <si>
    <t>Mili pulgadas</t>
  </si>
  <si>
    <t>Kilogauss</t>
  </si>
  <si>
    <t>Libras por pulgada cuadrada absoluta</t>
  </si>
  <si>
    <t>Enrique</t>
  </si>
  <si>
    <t>Kilopound por pulgada cuadrada</t>
  </si>
  <si>
    <t>Fuerza libra pie</t>
  </si>
  <si>
    <t>Libra por pie cúbico</t>
  </si>
  <si>
    <t>Equilibrio</t>
  </si>
  <si>
    <t>Saybold segundo universal</t>
  </si>
  <si>
    <t>Alimenta</t>
  </si>
  <si>
    <t>Calorías por centímetro cúbico</t>
  </si>
  <si>
    <t>Calorías por gramo</t>
  </si>
  <si>
    <t>Veinte mil galones (us) de carros</t>
  </si>
  <si>
    <t>Diez mil galones (us) de carros</t>
  </si>
  <si>
    <t>Tambor de diez kg</t>
  </si>
  <si>
    <t>Tambor de quince kg</t>
  </si>
  <si>
    <t>Milla de coche</t>
  </si>
  <si>
    <t>Recuento de coches</t>
  </si>
  <si>
    <t>Recuento de locomotoras</t>
  </si>
  <si>
    <t>Recuento de cabos</t>
  </si>
  <si>
    <t>Carro vacio</t>
  </si>
  <si>
    <t>Millas de tren</t>
  </si>
  <si>
    <t>Uso de combustible galón (us)</t>
  </si>
  <si>
    <t>Milla del caboose</t>
  </si>
  <si>
    <t>Tipo de interés fijo</t>
  </si>
  <si>
    <t>Tonelada milla</t>
  </si>
  <si>
    <t>Milla locomotora</t>
  </si>
  <si>
    <t>Recuento total de coches</t>
  </si>
  <si>
    <t>Milla de coche total</t>
  </si>
  <si>
    <t>Cuarto de milla</t>
  </si>
  <si>
    <t>Radianes por segundo</t>
  </si>
  <si>
    <t>Radianes por segundo al cuadrado</t>
  </si>
  <si>
    <t>Röntgen</t>
  </si>
  <si>
    <t>Unidad térmica británica por hora.</t>
  </si>
  <si>
    <t>Centímetro cúbico por segundo</t>
  </si>
  <si>
    <t>Pie cúbico por hora</t>
  </si>
  <si>
    <t>Pie cúbico por minuto</t>
  </si>
  <si>
    <t>Centímetro por segundo</t>
  </si>
  <si>
    <t>Decibel</t>
  </si>
  <si>
    <t>Kilobyte</t>
  </si>
  <si>
    <t>Kilobecquerel</t>
  </si>
  <si>
    <t>Kilocurie</t>
  </si>
  <si>
    <t>Megagramo</t>
  </si>
  <si>
    <t>Megagramo por hora</t>
  </si>
  <si>
    <t>Compartimiento</t>
  </si>
  <si>
    <t>Metro por minuto</t>
  </si>
  <si>
    <t>Milliröntgen</t>
  </si>
  <si>
    <t>Milivoltios</t>
  </si>
  <si>
    <t>Megajulio</t>
  </si>
  <si>
    <t>Manmonth</t>
  </si>
  <si>
    <t>Libra por libra de producto</t>
  </si>
  <si>
    <t>Libra por pieza de producto</t>
  </si>
  <si>
    <t>Kilogramo por kilogramo de producto</t>
  </si>
  <si>
    <t>Kilogramo por pieza de producto</t>
  </si>
  <si>
    <t>Bobina</t>
  </si>
  <si>
    <t>Gorra</t>
  </si>
  <si>
    <t>Centistokes</t>
  </si>
  <si>
    <t>Paquete de veinte</t>
  </si>
  <si>
    <t>Microlitro</t>
  </si>
  <si>
    <t>Micrómetro</t>
  </si>
  <si>
    <t>Miliamperio</t>
  </si>
  <si>
    <t>Megabyte</t>
  </si>
  <si>
    <t>Miligramo por hora</t>
  </si>
  <si>
    <t>Megabecquerel</t>
  </si>
  <si>
    <t>Microfarad</t>
  </si>
  <si>
    <t>Newton por metro</t>
  </si>
  <si>
    <t>Onza pulgada</t>
  </si>
  <si>
    <t>Pie onza</t>
  </si>
  <si>
    <t>Picofarad</t>
  </si>
  <si>
    <t>Libra por hora</t>
  </si>
  <si>
    <t>Tonelada (us) por hora</t>
  </si>
  <si>
    <t>Kilolitro por hora</t>
  </si>
  <si>
    <t>Barril por minuto</t>
  </si>
  <si>
    <t>Galón (us) por mil</t>
  </si>
  <si>
    <t>Mmscf / día</t>
  </si>
  <si>
    <t>Libras por mil</t>
  </si>
  <si>
    <t>Bomba</t>
  </si>
  <si>
    <t>Escenario</t>
  </si>
  <si>
    <t>Pie cúbico estándar</t>
  </si>
  <si>
    <t>Potencia hidráulica de caballos</t>
  </si>
  <si>
    <t>Contar por minuto</t>
  </si>
  <si>
    <t>Nivel sísmico</t>
  </si>
  <si>
    <t>609nfor sismica</t>
  </si>
  <si>
    <t>15 calorías c</t>
  </si>
  <si>
    <t>Amperio metro cuadrado por joule segundo</t>
  </si>
  <si>
    <t>Ã ¥ ngström</t>
  </si>
  <si>
    <t>Unidad astronómica</t>
  </si>
  <si>
    <t>Attojoule</t>
  </si>
  <si>
    <t>Granero</t>
  </si>
  <si>
    <t>Granero por electrón voltio</t>
  </si>
  <si>
    <t>Granero por voltio de electrones esteradiano,</t>
  </si>
  <si>
    <t>Granero por sterdian</t>
  </si>
  <si>
    <t>Becquerel por kilogramo</t>
  </si>
  <si>
    <t>Becquerel por metro cúbico</t>
  </si>
  <si>
    <t>Amperio por centímetro</t>
  </si>
  <si>
    <t>Unidad térmica británica por segundo pie cuadrado grado rankin</t>
  </si>
  <si>
    <t>Unidad térmica británica por libra grado rankin</t>
  </si>
  <si>
    <t>Unidad térmica británica por segundo pie grado rankin</t>
  </si>
  <si>
    <t>Unidad térmica británica por hora pie cuadrado grado rankin</t>
  </si>
  <si>
    <t>Candela por metro cuadrado</t>
  </si>
  <si>
    <t>Cheval vapeur</t>
  </si>
  <si>
    <t>Medidor de culombio</t>
  </si>
  <si>
    <t>Medidor de culombio al cuadrado por voltio</t>
  </si>
  <si>
    <t>Coulomb por centímetro cúbico</t>
  </si>
  <si>
    <t>Coulomb por metro cúbico</t>
  </si>
  <si>
    <t>Amperio por milímetro</t>
  </si>
  <si>
    <t>Coulomb por milímetro cúbico</t>
  </si>
  <si>
    <t>Coulomb por kilogramo segundo</t>
  </si>
  <si>
    <t>Coulomb por mol</t>
  </si>
  <si>
    <t>Coulomb por centímetro cuadrado</t>
  </si>
  <si>
    <t>Coulomb por metro cuadrado</t>
  </si>
  <si>
    <t>Coulomb por milímetro cuadrado</t>
  </si>
  <si>
    <t>Centímetro cúbico por mol</t>
  </si>
  <si>
    <t>610nformaci cúbico por mol</t>
  </si>
  <si>
    <t>Metro cúbico por coulomb</t>
  </si>
  <si>
    <t>Metro cúbico por kilogramo</t>
  </si>
  <si>
    <t>Amperio por centímetro cuadrado</t>
  </si>
  <si>
    <t>Metro cúbico por mol</t>
  </si>
  <si>
    <t>Amperio por metro cuadrado</t>
  </si>
  <si>
    <t>Curie por kilogramo</t>
  </si>
  <si>
    <t>Tonelaje de peso muerto</t>
  </si>
  <si>
    <t>Decalitro</t>
  </si>
  <si>
    <t>Decámetro</t>
  </si>
  <si>
    <t>Decitex</t>
  </si>
  <si>
    <t>Grado rankin</t>
  </si>
  <si>
    <t>Negador</t>
  </si>
  <si>
    <t>Amperio metro cuadrado</t>
  </si>
  <si>
    <t>Dyn segundo por centímetro cúbico</t>
  </si>
  <si>
    <t>Dina segundo por centímetro</t>
  </si>
  <si>
    <t>Dina segundo por centímetro al quinto</t>
  </si>
  <si>
    <t>Electronvolt</t>
  </si>
  <si>
    <t>Electronvoltio por metro</t>
  </si>
  <si>
    <t>Metro electronvolt cuadrado</t>
  </si>
  <si>
    <t>Electronvoltio de metro cuadrado por kilogramo</t>
  </si>
  <si>
    <t>Ergio</t>
  </si>
  <si>
    <t>Erg por centímetro</t>
  </si>
  <si>
    <t>Amperio por metro cuadrado kelvin al cuadrado</t>
  </si>
  <si>
    <t>Erg por centímetro cúbico</t>
  </si>
  <si>
    <t>Erg por gramo</t>
  </si>
  <si>
    <t>Erg por gramo de segundo</t>
  </si>
  <si>
    <t>Erg por segundo</t>
  </si>
  <si>
    <t>Erg por segundo centímetro cuadrado</t>
  </si>
  <si>
    <t>Erg por centímetro cuadrado segundo</t>
  </si>
  <si>
    <t>Erg centímetro cuadrado</t>
  </si>
  <si>
    <t>Ergímetro cuadrado por gramo</t>
  </si>
  <si>
    <t>Exajulio</t>
  </si>
  <si>
    <t>Faradio por metro</t>
  </si>
  <si>
    <t>Amperio por milímetro cuadrado</t>
  </si>
  <si>
    <t>Femtojoule</t>
  </si>
  <si>
    <t>Femtometro</t>
  </si>
  <si>
    <t>Pie por segundo al cuadrado</t>
  </si>
  <si>
    <t>Pie-fuerza de la libra por segundo</t>
  </si>
  <si>
    <t>Tonelada de carga</t>
  </si>
  <si>
    <t>Unidad de desplazamiento cgs gaussiana</t>
  </si>
  <si>
    <t>Unidad gaussiana cgs de corriente eléctrica.</t>
  </si>
  <si>
    <t>Unidad gaussian cgs de carga eléctrica.</t>
  </si>
  <si>
    <t>Amperio segundo</t>
  </si>
  <si>
    <t>Unidad gaussian cgs de intensidad de campo eléctrico.</t>
  </si>
  <si>
    <t>Unidad gaussian cgs de polarización eléctrica.</t>
  </si>
  <si>
    <t>Unidad gaussian cgs de potencial eléctrico.</t>
  </si>
  <si>
    <t>Unidad gaussiana cgs de magnetización.</t>
  </si>
  <si>
    <t>Gigacoulomb por metro cúbico</t>
  </si>
  <si>
    <t>Gigaelectronvolt</t>
  </si>
  <si>
    <t>Gigahercios</t>
  </si>
  <si>
    <t>Gigaohm</t>
  </si>
  <si>
    <t>Medidor de gigaohm</t>
  </si>
  <si>
    <t>Gigapascal</t>
  </si>
  <si>
    <t>Gigavatios</t>
  </si>
  <si>
    <t>Gon</t>
  </si>
  <si>
    <t>Gramo por metro cúbico</t>
  </si>
  <si>
    <t>Gramo por mol</t>
  </si>
  <si>
    <t>Gris</t>
  </si>
  <si>
    <t>Gris por segundo</t>
  </si>
  <si>
    <t>Hectopascal</t>
  </si>
  <si>
    <t>Henry por metro</t>
  </si>
  <si>
    <t>Bola</t>
  </si>
  <si>
    <t>Paquete a granel</t>
  </si>
  <si>
    <t>Acre</t>
  </si>
  <si>
    <t>Byte</t>
  </si>
  <si>
    <t>Amperio por metro</t>
  </si>
  <si>
    <t>Minuto adicional</t>
  </si>
  <si>
    <t>Minuto promedio por llamada</t>
  </si>
  <si>
    <t>Policía</t>
  </si>
  <si>
    <t>Braza</t>
  </si>
  <si>
    <t>613nfor de acceso</t>
  </si>
  <si>
    <t>Ampolla</t>
  </si>
  <si>
    <t>Hora amperio</t>
  </si>
  <si>
    <t>Amperio</t>
  </si>
  <si>
    <t>Solo libra de aluminio</t>
  </si>
  <si>
    <t>Onza troy o onza de boticarios</t>
  </si>
  <si>
    <t>Unidad de factor antihemofílico (ahf)</t>
  </si>
  <si>
    <t>Supositorio</t>
  </si>
  <si>
    <t>Son</t>
  </si>
  <si>
    <t>Surtido</t>
  </si>
  <si>
    <t>Fuerza alcohólica en masa</t>
  </si>
  <si>
    <t>Fuerza alcohólica por volumen</t>
  </si>
  <si>
    <t>Ambiente estándar</t>
  </si>
  <si>
    <t>Ambiente técnico</t>
  </si>
  <si>
    <t>Cápsula</t>
  </si>
  <si>
    <t>Vial lleno de polvo</t>
  </si>
  <si>
    <t>Montaje</t>
  </si>
  <si>
    <t>Unidad térmica británica por libra</t>
  </si>
  <si>
    <t>Btu por pie cúbico</t>
  </si>
  <si>
    <t>Barril (us) por día</t>
  </si>
  <si>
    <t>Julios por kilogramo kelvin</t>
  </si>
  <si>
    <t>Julios por metro</t>
  </si>
  <si>
    <t>Julios por metro cuadrado</t>
  </si>
  <si>
    <t>Julios por metro a la cuarta potencia</t>
  </si>
  <si>
    <t>Julios por mol</t>
  </si>
  <si>
    <t>Julios por mol kelvin</t>
  </si>
  <si>
    <t>Joule segundo</t>
  </si>
  <si>
    <t>Litera</t>
  </si>
  <si>
    <t>Joule metro cuadrado por kilogramo</t>
  </si>
  <si>
    <t>Kelvin por vatio</t>
  </si>
  <si>
    <t>Kiloampere</t>
  </si>
  <si>
    <t>Kiloampere por metro cuadrado</t>
  </si>
  <si>
    <t>Kiloampere por metro</t>
  </si>
  <si>
    <t>Kilobecquerel por kilogramo</t>
  </si>
  <si>
    <t>Kilocoulomb</t>
  </si>
  <si>
    <t>Kilocoulomb por metro cúbico</t>
  </si>
  <si>
    <t>Kilocoulomb por metro cuadrado</t>
  </si>
  <si>
    <t>Kiloelectronvolt</t>
  </si>
  <si>
    <t>Libra de bateo</t>
  </si>
  <si>
    <t>Kilogramo metro por segundo</t>
  </si>
  <si>
    <t>Kilogramo metro cuadrado</t>
  </si>
  <si>
    <t>Kilogramo metro cuadrado por segundo</t>
  </si>
  <si>
    <t>Kilogramo por decímetro cúbico</t>
  </si>
  <si>
    <t>Kilogramo por litro</t>
  </si>
  <si>
    <t>Caloría termoquímica por gramo</t>
  </si>
  <si>
    <t>Kilogramo de fuerza</t>
  </si>
  <si>
    <t>Metro de fuerza de kilogramo</t>
  </si>
  <si>
    <t>Metro de fuerza de kilogramo por segundo</t>
  </si>
  <si>
    <t>Barril, imperial</t>
  </si>
  <si>
    <t>Kilogramo de fuerza por metro cuadrado</t>
  </si>
  <si>
    <t>Kilojoule per kelvin</t>
  </si>
  <si>
    <t>Kilojoule por kilogramo</t>
  </si>
  <si>
    <t>Kilojoule por kilogramo kelvin</t>
  </si>
  <si>
    <t>Kilojoule por mol</t>
  </si>
  <si>
    <t>Kilomol</t>
  </si>
  <si>
    <t>Kilomol por metro cúbico</t>
  </si>
  <si>
    <t>Kilonewton</t>
  </si>
  <si>
    <t>Medidor de kilonewton</t>
  </si>
  <si>
    <t>Kiloohm</t>
  </si>
  <si>
    <t>Palanquilla</t>
  </si>
  <si>
    <t>Medidor de kiloohm</t>
  </si>
  <si>
    <t>Kilopond</t>
  </si>
  <si>
    <t>Kilosegundo</t>
  </si>
  <si>
    <t>Kilosiemens</t>
  </si>
  <si>
    <t>Kilosiemens por metro</t>
  </si>
  <si>
    <t>Kilovoltios por metro</t>
  </si>
  <si>
    <t>Kiloveber por metro</t>
  </si>
  <si>
    <t>Año luz</t>
  </si>
  <si>
    <t>Litro por mol</t>
  </si>
  <si>
    <t>Hora lumen</t>
  </si>
  <si>
    <t>Bollo</t>
  </si>
  <si>
    <t>Lumen por metro cuadrado</t>
  </si>
  <si>
    <t>Lumen por vatio</t>
  </si>
  <si>
    <t>Lumen segundo</t>
  </si>
  <si>
    <t>Hora de lux</t>
  </si>
  <si>
    <t>Lux segundo</t>
  </si>
  <si>
    <t>Maxwell</t>
  </si>
  <si>
    <t>Megaamperios por metro cuadrado</t>
  </si>
  <si>
    <t>Megabecquerel por kilogramo</t>
  </si>
  <si>
    <t>Megacoulomb por metro cúbico</t>
  </si>
  <si>
    <t>Ciclo</t>
  </si>
  <si>
    <t>Megacoulomb por metro cuadrado</t>
  </si>
  <si>
    <t>Megaelectronvolt</t>
  </si>
  <si>
    <t>Megagramo por metro cúbico</t>
  </si>
  <si>
    <t>Meganewton</t>
  </si>
  <si>
    <t>Medidor de meganewton</t>
  </si>
  <si>
    <t>Megaohm</t>
  </si>
  <si>
    <t>Metro megaohm</t>
  </si>
  <si>
    <t>Megasiemens por metro</t>
  </si>
  <si>
    <t>Megavoltio</t>
  </si>
  <si>
    <t>Megavolt por metro</t>
  </si>
  <si>
    <t>Julios por metro cúbico</t>
  </si>
  <si>
    <t>Metro recíproco cuadrado recíproco segundo</t>
  </si>
  <si>
    <t>Metro a la cuarta potencia</t>
  </si>
  <si>
    <t>Microamperios</t>
  </si>
  <si>
    <t>Microbar</t>
  </si>
  <si>
    <t>Microcoulomb</t>
  </si>
  <si>
    <t>Microcoulomb por metro cúbico</t>
  </si>
  <si>
    <t>Microcoulomb por metro cuadrado</t>
  </si>
  <si>
    <t>Microfarada por metro</t>
  </si>
  <si>
    <t>Batt</t>
  </si>
  <si>
    <t>Microhenry</t>
  </si>
  <si>
    <t>Microhenry por metro</t>
  </si>
  <si>
    <t>Micronewton</t>
  </si>
  <si>
    <t>Medidor de micronewton</t>
  </si>
  <si>
    <t>Microohm</t>
  </si>
  <si>
    <t>Medidor de microohmios</t>
  </si>
  <si>
    <t>Micropascal</t>
  </si>
  <si>
    <t>Microradiano</t>
  </si>
  <si>
    <t>Microsegundo</t>
  </si>
  <si>
    <t>Microsiemens</t>
  </si>
  <si>
    <t>Bar</t>
  </si>
  <si>
    <t>Caja base</t>
  </si>
  <si>
    <t>Tablero</t>
  </si>
  <si>
    <t>Haz</t>
  </si>
  <si>
    <t>Pie de tabla</t>
  </si>
  <si>
    <t>Bolso</t>
  </si>
  <si>
    <t>Cepillo</t>
  </si>
  <si>
    <t>Potencia al freno</t>
  </si>
  <si>
    <t>Trillón de dólares</t>
  </si>
  <si>
    <t>Cangilón</t>
  </si>
  <si>
    <t>Cesta</t>
  </si>
  <si>
    <t>Bala</t>
  </si>
  <si>
    <t>Barril seco</t>
  </si>
  <si>
    <t>Barril (ee. uu.) (petróleo, etc.)</t>
  </si>
  <si>
    <t>Botella</t>
  </si>
  <si>
    <t>Cien pies de tabla</t>
  </si>
  <si>
    <t>Becquerel</t>
  </si>
  <si>
    <t>Tornillo</t>
  </si>
  <si>
    <t>Unidad térmica británica</t>
  </si>
  <si>
    <t>Bushel (ee. uu.)</t>
  </si>
  <si>
    <t>Bushel (reino unido)</t>
  </si>
  <si>
    <t>Peso base</t>
  </si>
  <si>
    <t>Millones de btus</t>
  </si>
  <si>
    <t>Llamada</t>
  </si>
  <si>
    <t>Producto compuesto libra (peso total)</t>
  </si>
  <si>
    <t>Millifarad</t>
  </si>
  <si>
    <t>Miligal</t>
  </si>
  <si>
    <t>Miligramo por metro</t>
  </si>
  <si>
    <t>Miligray</t>
  </si>
  <si>
    <t>Milihenry</t>
  </si>
  <si>
    <t>Milijoule</t>
  </si>
  <si>
    <t>Milímetro por segundo</t>
  </si>
  <si>
    <t>Milímetro cuadrado por segundo</t>
  </si>
  <si>
    <t>Milimol</t>
  </si>
  <si>
    <t>Mol por kilogramo</t>
  </si>
  <si>
    <t>Carset</t>
  </si>
  <si>
    <t>Millinewton</t>
  </si>
  <si>
    <t>Millinewton por metro</t>
  </si>
  <si>
    <t>Medidor de miliohm</t>
  </si>
  <si>
    <t>segundo milipascal</t>
  </si>
  <si>
    <t>Miliradian</t>
  </si>
  <si>
    <t>Milisegundo</t>
  </si>
  <si>
    <t>Milisiemens</t>
  </si>
  <si>
    <t>Milisievert</t>
  </si>
  <si>
    <t>Millitesla</t>
  </si>
  <si>
    <t>Microvoltios por metro</t>
  </si>
  <si>
    <t>Milivoltios por metro</t>
  </si>
  <si>
    <t>Milivatios</t>
  </si>
  <si>
    <t>Milivatios por metro cuadrado</t>
  </si>
  <si>
    <t>Milliweber</t>
  </si>
  <si>
    <t>Topo</t>
  </si>
  <si>
    <t>Mol por decímetro cúbico</t>
  </si>
  <si>
    <t>Mol por metro cúbico</t>
  </si>
  <si>
    <t>Mol por litro</t>
  </si>
  <si>
    <t>Nanoampere</t>
  </si>
  <si>
    <t>Partido de carga</t>
  </si>
  <si>
    <t>Nanocoulomb</t>
  </si>
  <si>
    <t>Nanofarad</t>
  </si>
  <si>
    <t>Nanofarad por metro</t>
  </si>
  <si>
    <t>Nanohenry</t>
  </si>
  <si>
    <t>Nanohenry por metro</t>
  </si>
  <si>
    <t>Nanometro</t>
  </si>
  <si>
    <t>Medidor de nanoohm</t>
  </si>
  <si>
    <t>Nanosegundo</t>
  </si>
  <si>
    <t>Nanotesla</t>
  </si>
  <si>
    <t>Nanovatio</t>
  </si>
  <si>
    <t>Costo</t>
  </si>
  <si>
    <t>Neper</t>
  </si>
  <si>
    <t>Neper por segundo</t>
  </si>
  <si>
    <t>Picometro</t>
  </si>
  <si>
    <t>Metro de newton segundo</t>
  </si>
  <si>
    <t>Newton metro cuadrado kilogramo cuadrado</t>
  </si>
  <si>
    <t>Newton por metro cuadrado</t>
  </si>
  <si>
    <t>Newton por milímetro cuadrado</t>
  </si>
  <si>
    <t>Newton segundo</t>
  </si>
  <si>
    <t>Newton segundo por metro</t>
  </si>
  <si>
    <t>Octava</t>
  </si>
  <si>
    <t>Célula</t>
  </si>
  <si>
    <t>Ohm centímetro</t>
  </si>
  <si>
    <t>Ohm metro</t>
  </si>
  <si>
    <t>Uno</t>
  </si>
  <si>
    <t>Parsec</t>
  </si>
  <si>
    <t>Pascal por kelvin</t>
  </si>
  <si>
    <t>segundo pascal</t>
  </si>
  <si>
    <t>segundo pascal por metro cúbico</t>
  </si>
  <si>
    <t>segundo pascal por metro</t>
  </si>
  <si>
    <t>Petajoule</t>
  </si>
  <si>
    <t>Telefono</t>
  </si>
  <si>
    <t>Centipoise</t>
  </si>
  <si>
    <t>Picoampere</t>
  </si>
  <si>
    <t>Picocoulomb</t>
  </si>
  <si>
    <t>Picofarad por metro</t>
  </si>
  <si>
    <t>Picohenry</t>
  </si>
  <si>
    <t>Picowatt</t>
  </si>
  <si>
    <t>Picowatt por metro cuadrado</t>
  </si>
  <si>
    <t>Medidor de libras</t>
  </si>
  <si>
    <t>Fuerza de libra</t>
  </si>
  <si>
    <t>Millicoulomb por kilogramo</t>
  </si>
  <si>
    <t>Rad</t>
  </si>
  <si>
    <t>Radián</t>
  </si>
  <si>
    <t>Medidor de radianes al cuadrado por mol</t>
  </si>
  <si>
    <t>Medidor de radianes al cuadrado por kilogramo</t>
  </si>
  <si>
    <t>Radian por metro</t>
  </si>
  <si>
    <t>Â € ngstr recíproco “m</t>
  </si>
  <si>
    <t>Metro cúbico recíproco</t>
  </si>
  <si>
    <t>Metro cúbico recíproco por segundo</t>
  </si>
  <si>
    <t>Voltios de electrones recíprocos por metro cúbico</t>
  </si>
  <si>
    <t>Henry recíproco</t>
  </si>
  <si>
    <t>Grupo de bobina</t>
  </si>
  <si>
    <t>Joule recíproco por metro cúbico</t>
  </si>
  <si>
    <t>Kelvin recíproco o kelvin al poder menos uno</t>
  </si>
  <si>
    <t>Medidor recíproco</t>
  </si>
  <si>
    <t>Metro cuadrado recíproco</t>
  </si>
  <si>
    <t>Minuto recíproco</t>
  </si>
  <si>
    <t>Mole recíproco</t>
  </si>
  <si>
    <t>Pascal recíproco o pascal a la potencia menos uno.</t>
  </si>
  <si>
    <t>segundo recíproco</t>
  </si>
  <si>
    <t>segundo recíproco por metro cúbico</t>
  </si>
  <si>
    <t>segundo recíproco por metro cuadrado</t>
  </si>
  <si>
    <t>Capacidad de carga en toneladas métricas.</t>
  </si>
  <si>
    <t>Candela</t>
  </si>
  <si>
    <t>Grado celsius</t>
  </si>
  <si>
    <t>Cien</t>
  </si>
  <si>
    <t>Tarjeta</t>
  </si>
  <si>
    <t>Centigramo</t>
  </si>
  <si>
    <t>Envase</t>
  </si>
  <si>
    <t>Cono</t>
  </si>
  <si>
    <t>Conector</t>
  </si>
  <si>
    <t>Coulomb por kilogramo</t>
  </si>
  <si>
    <t>Cientos de licencia</t>
  </si>
  <si>
    <t>Centilitro</t>
  </si>
  <si>
    <t>Centímetro cúbico</t>
  </si>
  <si>
    <t>Paquete de cien</t>
  </si>
  <si>
    <t>Cental (reino unido)</t>
  </si>
  <si>
    <t>Garrafón</t>
  </si>
  <si>
    <t>Culombio</t>
  </si>
  <si>
    <t>Cartucho</t>
  </si>
  <si>
    <t>Caso</t>
  </si>
  <si>
    <t>Caja de cartón</t>
  </si>
  <si>
    <t>Quilate métrico</t>
  </si>
  <si>
    <t>Vaso</t>
  </si>
  <si>
    <t>Curie</t>
  </si>
  <si>
    <t>Cubrir</t>
  </si>
  <si>
    <t>Cien libras (quintales) / cien pesos (us)</t>
  </si>
  <si>
    <t>Cien pesos (reino unido)</t>
  </si>
  <si>
    <t>Cilindro</t>
  </si>
  <si>
    <t>Combo</t>
  </si>
  <si>
    <t>segundo recíproco por esteradiano</t>
  </si>
  <si>
    <t>Siemens por metro</t>
  </si>
  <si>
    <t>Siemens metro cuadrado por mol</t>
  </si>
  <si>
    <t>Sievert</t>
  </si>
  <si>
    <t>Mil yardas lineales</t>
  </si>
  <si>
    <t>Sone</t>
  </si>
  <si>
    <t>Centímetro cuadrado por ergio</t>
  </si>
  <si>
    <t>Centímetro cuadrado por erg esterlina</t>
  </si>
  <si>
    <t>Metro kelvin</t>
  </si>
  <si>
    <t>Kelvin metro cuadrado por vatio</t>
  </si>
  <si>
    <t>segundo recíproco por metros cuadrados esteradianos</t>
  </si>
  <si>
    <t>Metro cuadrado por julio</t>
  </si>
  <si>
    <t>Metro cuadrado por kilogramo</t>
  </si>
  <si>
    <t>Metro cuadrado por mol</t>
  </si>
  <si>
    <t>Pluma gramo (proteína)</t>
  </si>
  <si>
    <t>Metro cuadrado por esterilizador</t>
  </si>
  <si>
    <t>Metro cuadrado por julios esteradianos</t>
  </si>
  <si>
    <t>Metro cuadrado por voltio segundo</t>
  </si>
  <si>
    <t>Esteradiano</t>
  </si>
  <si>
    <t>Sifón</t>
  </si>
  <si>
    <t>Terahercios</t>
  </si>
  <si>
    <t>Terajulio</t>
  </si>
  <si>
    <t>Teravatio</t>
  </si>
  <si>
    <t>Hora de teravatio</t>
  </si>
  <si>
    <t>Tesla</t>
  </si>
  <si>
    <t>Texas</t>
  </si>
  <si>
    <t>Caloría termoquímica</t>
  </si>
  <si>
    <t>Caloría termoquímica por gramo kelvin</t>
  </si>
  <si>
    <t>Calorías termoquímicas por segundo centímetro kelvin</t>
  </si>
  <si>
    <t>Calorías termoquímicas por segundo centímetro cuadrado
kelvin</t>
  </si>
  <si>
    <t>Mil litros</t>
  </si>
  <si>
    <t>Tonelada por metro cúbico</t>
  </si>
  <si>
    <t>Año tropical</t>
  </si>
  <si>
    <t>Unidad de masa atómica unificada</t>
  </si>
  <si>
    <t>Var</t>
  </si>
  <si>
    <t>Voltios al cuadrado por kelvin al cuadrado</t>
  </si>
  <si>
    <t>Voltio – amperio</t>
  </si>
  <si>
    <t>Voltio por centímetro</t>
  </si>
  <si>
    <t>Voltio por kelvin</t>
  </si>
  <si>
    <t>Milivoltios por kelvin</t>
  </si>
  <si>
    <t>Kilogramo por centímetro cuadrado</t>
  </si>
  <si>
    <t>Voltios por metro</t>
  </si>
  <si>
    <t>Voltios por milímetro</t>
  </si>
  <si>
    <t>Vatios por kelvin</t>
  </si>
  <si>
    <t>Vatios por metro kelvin</t>
  </si>
  <si>
    <t>Vatios por metro cuadrado</t>
  </si>
  <si>
    <t>Vatios por metro cuadrado kelvin</t>
  </si>
  <si>
    <t>Vatios por metro cuadrado de kelvin a la cuarta potencia</t>
  </si>
  <si>
    <t>Vatios por steradian</t>
  </si>
  <si>
    <t>Vatios por metro cuadrado esterlino</t>
  </si>
  <si>
    <t>Weber por metro</t>
  </si>
  <si>
    <t>Röntgen por segundo</t>
  </si>
  <si>
    <t>Weber por milímetro</t>
  </si>
  <si>
    <t>Segundo</t>
  </si>
  <si>
    <t>Libro</t>
  </si>
  <si>
    <t>Bloquear</t>
  </si>
  <si>
    <t>Redondo</t>
  </si>
  <si>
    <t>Casete</t>
  </si>
  <si>
    <t>Dólar por hora</t>
  </si>
  <si>
    <t>Pulgada a la cuarta potencia</t>
  </si>
  <si>
    <t>Sandwich</t>
  </si>
  <si>
    <t>Tabla internacional (it) caloría</t>
  </si>
  <si>
    <t>Tabla internacional (it) calorías por segundo
centímetro kelvin</t>
  </si>
  <si>
    <t>Tabla internacional (it) calorías por segundo
centímetro cuadrado kelvin</t>
  </si>
  <si>
    <t>Joule metro cuadrado</t>
  </si>
  <si>
    <t>Kilogramo por mol</t>
  </si>
  <si>
    <t>Tabla internacional (it) calorías por gramo</t>
  </si>
  <si>
    <t>Tabla internacional (it) calorías por gramo kelvin</t>
  </si>
  <si>
    <t>Megacoulomb</t>
  </si>
  <si>
    <t>Puntaje de drenaje</t>
  </si>
  <si>
    <t>Microwatt</t>
  </si>
  <si>
    <t>Microtesla</t>
  </si>
  <si>
    <t>Microvoltio</t>
  </si>
  <si>
    <t>Medidor de millinewton</t>
  </si>
  <si>
    <t>Microwatt por metro cuadrado</t>
  </si>
  <si>
    <t>Millicoulomb</t>
  </si>
  <si>
    <t>Milimol por kilogramo</t>
  </si>
  <si>
    <t>Millicoulomb por metro cúbico</t>
  </si>
  <si>
    <t>Millicoulomb por metro cuadrado</t>
  </si>
  <si>
    <t>Dina por centímetro cuadrado</t>
  </si>
  <si>
    <t>Movimiento rápido del ojo</t>
  </si>
  <si>
    <t>Banda</t>
  </si>
  <si>
    <t>Segundo por metro cúbico</t>
  </si>
  <si>
    <t>Segundo por metro cúbico radianes</t>
  </si>
  <si>
    <t>Julios por gramo</t>
  </si>
  <si>
    <t>Libra bruta</t>
  </si>
  <si>
    <t>Carga de palet / unidad</t>
  </si>
  <si>
    <t>Libra de masa</t>
  </si>
  <si>
    <t>Manga</t>
  </si>
  <si>
    <t>Despreciar</t>
  </si>
  <si>
    <t>Diez dias</t>
  </si>
  <si>
    <t>Libra seca</t>
  </si>
  <si>
    <t>Disco</t>
  </si>
  <si>
    <t>La licenciatura</t>
  </si>
  <si>
    <t>Acuerdo</t>
  </si>
  <si>
    <t>Década</t>
  </si>
  <si>
    <t>Decigramo</t>
  </si>
  <si>
    <t>Dispensador</t>
  </si>
  <si>
    <t>Decagramo</t>
  </si>
  <si>
    <t>Decilitro</t>
  </si>
  <si>
    <t>613nformaci cuadrado</t>
  </si>
  <si>
    <t>Decímetro cúbico</t>
  </si>
  <si>
    <t>Decímetro</t>
  </si>
  <si>
    <t>Medidor de decinewton</t>
  </si>
  <si>
    <t>Docena pieza</t>
  </si>
  <si>
    <t>Docena par</t>
  </si>
  <si>
    <t>Tonelaje de desplazamiento</t>
  </si>
  <si>
    <t>Registro de datos</t>
  </si>
  <si>
    <t>Dram (us)</t>
  </si>
  <si>
    <t>Dram (reino unido)</t>
  </si>
  <si>
    <t>Docena rollo</t>
  </si>
  <si>
    <t>Dracma (reino unido)</t>
  </si>
  <si>
    <t>Monitor</t>
  </si>
  <si>
    <t>Tonelada seca</t>
  </si>
  <si>
    <t>Decitonne</t>
  </si>
  <si>
    <t>Dina</t>
  </si>
  <si>
    <t>Pennyweight</t>
  </si>
  <si>
    <t>Dina por centímetro</t>
  </si>
  <si>
    <t>Libro de directorio</t>
  </si>
  <si>
    <t>Docena</t>
  </si>
  <si>
    <t>Paquete de doce</t>
  </si>
  <si>
    <t>Cinturón</t>
  </si>
  <si>
    <t>Remolque</t>
  </si>
  <si>
    <t>Kilogramo bruto</t>
  </si>
  <si>
    <t>Tonelada métrica larga</t>
  </si>
  <si>
    <t>Cada</t>
  </si>
  <si>
    <t>Casilla de correo electrónico</t>
  </si>
  <si>
    <t>Cada uno por mes</t>
  </si>
  <si>
    <t>Paquete de once</t>
  </si>
  <si>
    <t>Galón equivalente</t>
  </si>
  <si>
    <t>Sobre</t>
  </si>
  <si>
    <t>Mil pies cúbicos por día</t>
  </si>
  <si>
    <t>Fibra por centímetro cúbico de aire</t>
  </si>
  <si>
    <t>Grado fahrenheit</t>
  </si>
  <si>
    <t>Faradio</t>
  </si>
  <si>
    <t>Campo</t>
  </si>
  <si>
    <t>Mil pies cúbicos</t>
  </si>
  <si>
    <t>Millón de partículas por pie cúbico</t>
  </si>
  <si>
    <t>Pie de pista</t>
  </si>
  <si>
    <t>Cien metros cúbicos</t>
  </si>
  <si>
    <t>Parche transdérmico</t>
  </si>
  <si>
    <t>Micromol</t>
  </si>
  <si>
    <t>Tonelada en escamas</t>
  </si>
  <si>
    <t>Millones de pies cúbicos</t>
  </si>
  <si>
    <t>Libra por pie cuadrado</t>
  </si>
  <si>
    <t>Pie por minuto</t>
  </si>
  <si>
    <t>Pie por segundo</t>
  </si>
  <si>
    <t>Pie cuadrado</t>
  </si>
  <si>
    <t>Pie cubico</t>
  </si>
  <si>
    <t>Us galones por minuto</t>
  </si>
  <si>
    <t>Galon imperial por minuto</t>
  </si>
  <si>
    <t>Hoja de microficha</t>
  </si>
  <si>
    <t>Galón (us) por día</t>
  </si>
  <si>
    <t>Gigabecquerel</t>
  </si>
  <si>
    <t>Gramo por 100 gramo</t>
  </si>
  <si>
    <t>Barril bruto</t>
  </si>
  <si>
    <t>Libra por galón (us)</t>
  </si>
  <si>
    <t>Gramo por metro (gramo por 100 centímetros)</t>
  </si>
  <si>
    <t>Gramo de isótopo fisionable</t>
  </si>
  <si>
    <t>Medio galón (ee. uu.)</t>
  </si>
  <si>
    <t>Branquias</t>
  </si>
  <si>
    <t>Gill (reino unido)</t>
  </si>
  <si>
    <t>Gramo por mililitro</t>
  </si>
  <si>
    <t>Gramo por kilogramo</t>
  </si>
  <si>
    <t>Gramo por litro</t>
  </si>
  <si>
    <t>Galón seco (ee. uu.)</t>
  </si>
  <si>
    <t>Galón (reino unido)</t>
  </si>
  <si>
    <t>Gramo por metro cuadrado</t>
  </si>
  <si>
    <t>Galón bruto</t>
  </si>
  <si>
    <t>Miligramos por metro cuadrado</t>
  </si>
  <si>
    <t>Miligramo por metro cúbico</t>
  </si>
  <si>
    <t>Microgramos por metro cúbico</t>
  </si>
  <si>
    <t>Grano</t>
  </si>
  <si>
    <t>Bruto</t>
  </si>
  <si>
    <t>Tonelada de registro bruto</t>
  </si>
  <si>
    <t>Tonelada bruta</t>
  </si>
  <si>
    <t>Gigajoule</t>
  </si>
  <si>
    <t>Galón por mil pies cúbicos</t>
  </si>
  <si>
    <t>Hora de gigavatios</t>
  </si>
  <si>
    <t>Patio bruto</t>
  </si>
  <si>
    <t>Sistema de medición</t>
  </si>
  <si>
    <t>Media página – electrónica</t>
  </si>
  <si>
    <t>Medio litro</t>
  </si>
  <si>
    <t>Madeja</t>
  </si>
  <si>
    <t>Hectárea</t>
  </si>
  <si>
    <t>Hectobar</t>
  </si>
  <si>
    <t>Cien cajas</t>
  </si>
  <si>
    <t>Cien cuentas</t>
  </si>
  <si>
    <t>Media docena</t>
  </si>
  <si>
    <t>Centésima de quilate</t>
  </si>
  <si>
    <t>Cien pies</t>
  </si>
  <si>
    <t>Hectogramo</t>
  </si>
  <si>
    <t>Cien pies cúbicos</t>
  </si>
  <si>
    <t>Cien hojas</t>
  </si>
  <si>
    <t>Cien unidades internacionales</t>
  </si>
  <si>
    <t>Caballo métrico</t>
  </si>
  <si>
    <t>Cien kilogramos</t>
  </si>
  <si>
    <t>Cien pies (lineales)</t>
  </si>
  <si>
    <t>Hectolitro</t>
  </si>
  <si>
    <t>Milla por hora</t>
  </si>
  <si>
    <t>Millones de metros cúbicos</t>
  </si>
  <si>
    <t>Hectómetro</t>
  </si>
  <si>
    <t>Milímetro convencional de mercurio</t>
  </si>
  <si>
    <t>Cien onzas troy</t>
  </si>
  <si>
    <t>Milímetro convencional de agua</t>
  </si>
  <si>
    <t>Hectolitro de alcohol puro</t>
  </si>
  <si>
    <t>Cien pies cuadrados</t>
  </si>
  <si>
    <t>Media hora</t>
  </si>
  <si>
    <t>Hertz</t>
  </si>
  <si>
    <t>Cien yardas</t>
  </si>
  <si>
    <t>Pulgada libra</t>
  </si>
  <si>
    <t>Contar por pulgada</t>
  </si>
  <si>
    <t>Persona</t>
  </si>
  <si>
    <t>Pulgadas de agua</t>
  </si>
  <si>
    <t>Columna pulgada</t>
  </si>
  <si>
    <t>Pulgada por minuto</t>
  </si>
  <si>
    <t>Impresión</t>
  </si>
  <si>
    <t>Pulgada en cubos</t>
  </si>
  <si>
    <t>Póliza de seguros</t>
  </si>
  <si>
    <t>Conteo por centímetro</t>
  </si>
  <si>
    <t>Pulgada por segundo (velocidad lineal)</t>
  </si>
  <si>
    <t>Pulgada por segundo al cuadrado (aceleración)</t>
  </si>
  <si>
    <t>Julios por kilogramo</t>
  </si>
  <si>
    <t>Jumbo</t>
  </si>
  <si>
    <t>Joule por kelvin</t>
  </si>
  <si>
    <t>Jarra</t>
  </si>
  <si>
    <t>Megajulio por kilogramo</t>
  </si>
  <si>
    <t>Megajulio por metro cúbico</t>
  </si>
  <si>
    <t>Articulación</t>
  </si>
  <si>
    <t>Joule</t>
  </si>
  <si>
    <t>Tarro</t>
  </si>
  <si>
    <t>Demanda de kilovatios</t>
  </si>
  <si>
    <t>Kilovoltios amperios reactivos de demanda</t>
  </si>
  <si>
    <t>Kilovoltio amperio hora reactiva</t>
  </si>
  <si>
    <t>Amperios kilovoltios (reactivos)</t>
  </si>
  <si>
    <t>Kilolitro</t>
  </si>
  <si>
    <t>Pastel</t>
  </si>
  <si>
    <t>Kilocharacter</t>
  </si>
  <si>
    <t>Kilobar</t>
  </si>
  <si>
    <t>Kilogramo decimal</t>
  </si>
  <si>
    <t>Kelvin</t>
  </si>
  <si>
    <t>Kilopacket</t>
  </si>
  <si>
    <t>Barrilete</t>
  </si>
  <si>
    <t>Kilogramo por segundo</t>
  </si>
  <si>
    <t>Kilohercio</t>
  </si>
  <si>
    <t>Kilogramo por milímetro de ancho</t>
  </si>
  <si>
    <t>Kilosegmento</t>
  </si>
  <si>
    <t>Kilojoule</t>
  </si>
  <si>
    <t>Kilogramo por metro</t>
  </si>
  <si>
    <t>Kilómetro por hora</t>
  </si>
  <si>
    <t>Kilometro cuadrado</t>
  </si>
  <si>
    <t>Kilogramo por metro cúbico</t>
  </si>
  <si>
    <t>Kilogramo de nitrógeno</t>
  </si>
  <si>
    <t>Kilogramo de sustancia nombrada</t>
  </si>
  <si>
    <t>Nudo</t>
  </si>
  <si>
    <t>Milliequivalencia de potasa cáustica por gramo de producto.</t>
  </si>
  <si>
    <t>Kilopascal</t>
  </si>
  <si>
    <t>Kilogramo de hidróxido de potasio (potasa cáustica)</t>
  </si>
  <si>
    <t>Kilogramo de óxido de potasio</t>
  </si>
  <si>
    <t>Kilogramo de pentóxido de fósforo (anhídrido fosfórico)</t>
  </si>
  <si>
    <t>Kilorã¶ntgen</t>
  </si>
  <si>
    <t>Mil libras por pulgada cuadrada</t>
  </si>
  <si>
    <t>Kilogramo de sustancia 90% seca</t>
  </si>
  <si>
    <t>Kilogramo de hidróxido de sodio (soda cáustica)</t>
  </si>
  <si>
    <t>Equipo</t>
  </si>
  <si>
    <t>Kilómetro</t>
  </si>
  <si>
    <t>Kilotonne</t>
  </si>
  <si>
    <t>Kilogramo de uranio</t>
  </si>
  <si>
    <t>Kilovoltio – ampere</t>
  </si>
  <si>
    <t>Kilovar</t>
  </si>
  <si>
    <t>Kilovoltio</t>
  </si>
  <si>
    <t>Kilogramos por milímetro</t>
  </si>
  <si>
    <t>Kilovatios hora</t>
  </si>
  <si>
    <t>Kilovatio</t>
  </si>
  <si>
    <t>Mililitro por kilogramo</t>
  </si>
  <si>
    <t>Litro por minuto</t>
  </si>
  <si>
    <t>Libra por pulgada cúbica</t>
  </si>
  <si>
    <t>Libra troy</t>
  </si>
  <si>
    <t>Centímetro lineal</t>
  </si>
  <si>
    <t>Litro por día</t>
  </si>
  <si>
    <t>Lite</t>
  </si>
  <si>
    <t>Hoja</t>
  </si>
  <si>
    <t>Pie lineal</t>
  </si>
  <si>
    <t>Hora de trabajo</t>
  </si>
  <si>
    <t>Pulgada lineal</t>
  </si>
  <si>
    <t>Spray grande</t>
  </si>
  <si>
    <t>Enlazar</t>
  </si>
  <si>
    <t>Metro lineal</t>
  </si>
  <si>
    <t>Mucho</t>
  </si>
  <si>
    <t>Libra liquida</t>
  </si>
  <si>
    <t>Litro de alcohol puro</t>
  </si>
  <si>
    <t>Capa</t>
  </si>
  <si>
    <t>Suma global</t>
  </si>
  <si>
    <t>Ton (reino unido) o longton (ee. uu.)</t>
  </si>
  <si>
    <t>Lumen</t>
  </si>
  <si>
    <t>Lux</t>
  </si>
  <si>
    <t>Yarda lineal por libra</t>
  </si>
  <si>
    <t>Yarda lineal</t>
  </si>
  <si>
    <t>Cinta magnética</t>
  </si>
  <si>
    <t>Miligramos por litro</t>
  </si>
  <si>
    <t>Valor monetario</t>
  </si>
  <si>
    <t>Microcurie</t>
  </si>
  <si>
    <t>Micropulgada</t>
  </si>
  <si>
    <t>Millones de btu por 1000 pies cúbicos</t>
  </si>
  <si>
    <t>Máquina por unidad</t>
  </si>
  <si>
    <t>Mega litro</t>
  </si>
  <si>
    <t>Megametro</t>
  </si>
  <si>
    <t>Megavatio</t>
  </si>
  <si>
    <t>Mil equivalentes de ladrillo estándar</t>
  </si>
  <si>
    <t>Mil pies de tabla</t>
  </si>
  <si>
    <t>Milibar</t>
  </si>
  <si>
    <t>Microgramo</t>
  </si>
  <si>
    <t>Milicurie</t>
  </si>
  <si>
    <t>Aire seco tonelada métrica</t>
  </si>
  <si>
    <t>Miligramo por pie cuadrado por lado</t>
  </si>
  <si>
    <t>Miligramo</t>
  </si>
  <si>
    <t>Megahercio</t>
  </si>
  <si>
    <t>Milla cuadrada</t>
  </si>
  <si>
    <t>Mil</t>
  </si>
  <si>
    <t>Millón</t>
  </si>
  <si>
    <t>Millones de unidades internacionales</t>
  </si>
  <si>
    <t>Miligramo por pulgada cuadrada</t>
  </si>
  <si>
    <t>Mil millones</t>
  </si>
  <si>
    <t>Milímetro cuadrado</t>
  </si>
  <si>
    <t>Milímetro cúbico</t>
  </si>
  <si>
    <t>Milímetro</t>
  </si>
  <si>
    <t>Mes</t>
  </si>
  <si>
    <t>Megapascal</t>
  </si>
  <si>
    <t>Mil metros</t>
  </si>
  <si>
    <t>Metro cúbico por hora</t>
  </si>
  <si>
    <t>Metro cúbico por segundo</t>
  </si>
  <si>
    <t>Metro por segundo al cuadrado</t>
  </si>
  <si>
    <t>Estera</t>
  </si>
  <si>
    <t>Metro por segundo</t>
  </si>
  <si>
    <t>Número de mults</t>
  </si>
  <si>
    <t>Megavolt – ampere</t>
  </si>
  <si>
    <t>Megavatios hora (1000 kw.h)</t>
  </si>
  <si>
    <t>Calorías de la pluma</t>
  </si>
  <si>
    <t>Número de líneas</t>
  </si>
  <si>
    <t>Punto de impresión</t>
  </si>
  <si>
    <t>Miligramo por kilogramo</t>
  </si>
  <si>
    <t>Número de artículos</t>
  </si>
  <si>
    <t>Barcaza</t>
  </si>
  <si>
    <t>Número de bobinas</t>
  </si>
  <si>
    <t>Coche</t>
  </si>
  <si>
    <t>Número de celdas</t>
  </si>
  <si>
    <t>Barril neto</t>
  </si>
  <si>
    <t>Litro neto</t>
  </si>
  <si>
    <t>Newton</t>
  </si>
  <si>
    <t>Mensaje</t>
  </si>
  <si>
    <t>Galón neto (nosotros)</t>
  </si>
  <si>
    <t>Hora del mensaje</t>
  </si>
  <si>
    <t>Galón imperial neto</t>
  </si>
  <si>
    <t>Número de unidades internacionales</t>
  </si>
  <si>
    <t>Número de pantallas</t>
  </si>
  <si>
    <t>Carga</t>
  </si>
  <si>
    <t>Milla nautica</t>
  </si>
  <si>
    <t>Número de paquetes</t>
  </si>
  <si>
    <t>Entrenar</t>
  </si>
  <si>
    <t>Número de parcelas</t>
  </si>
  <si>
    <t>Número de partes</t>
  </si>
  <si>
    <t>Mho</t>
  </si>
  <si>
    <t>Micromho</t>
  </si>
  <si>
    <t>Número de rollos</t>
  </si>
  <si>
    <t>Tonelada neta</t>
  </si>
  <si>
    <t>Registro neto de toneladas</t>
  </si>
  <si>
    <t>Medidor de newton</t>
  </si>
  <si>
    <t>Vehículo</t>
  </si>
  <si>
    <t>Parte por mil</t>
  </si>
  <si>
    <t>Libra por aire seco tonelada métrica</t>
  </si>
  <si>
    <t>Panel</t>
  </si>
  <si>
    <t>Ohm</t>
  </si>
  <si>
    <t>Onza por yarda cuadrada</t>
  </si>
  <si>
    <t>Onza</t>
  </si>
  <si>
    <t>Dos paquetes</t>
  </si>
  <si>
    <t>Hora extra</t>
  </si>
  <si>
    <t>Onza av</t>
  </si>
  <si>
    <t>Onza líquida (us)</t>
  </si>
  <si>
    <t>Onza líquida (reino unido)</t>
  </si>
  <si>
    <t>Pagina – electronica</t>
  </si>
  <si>
    <t>Por ciento</t>
  </si>
  <si>
    <t>Libra por pie</t>
  </si>
  <si>
    <t>Paquete de tres</t>
  </si>
  <si>
    <t>Paquete de cuatro</t>
  </si>
  <si>
    <t>Paquete de cinco</t>
  </si>
  <si>
    <t>Paquete de seis</t>
  </si>
  <si>
    <t>Paquete de siete</t>
  </si>
  <si>
    <t>Paquete de ocho</t>
  </si>
  <si>
    <t>Paquete de nueve</t>
  </si>
  <si>
    <t>Paquete</t>
  </si>
  <si>
    <t>Pascal</t>
  </si>
  <si>
    <t>Par de pulgadas</t>
  </si>
  <si>
    <t>Almohadilla</t>
  </si>
  <si>
    <t>Equivalente en libras</t>
  </si>
  <si>
    <t>Palet (ascensor)</t>
  </si>
  <si>
    <t>Plato</t>
  </si>
  <si>
    <t>Galón de prueba</t>
  </si>
  <si>
    <t>Tono</t>
  </si>
  <si>
    <t>Cubo</t>
  </si>
  <si>
    <t>Porcentaje de libra</t>
  </si>
  <si>
    <t>Libra neta</t>
  </si>
  <si>
    <t>Libra por pulgada de longitud</t>
  </si>
  <si>
    <t>Página por pulgada</t>
  </si>
  <si>
    <t>Fuerza de libra por pulgada cuadrada</t>
  </si>
  <si>
    <t>Pinta</t>
  </si>
  <si>
    <t>Pinta seca</t>
  </si>
  <si>
    <t>Pinta (reino unido)</t>
  </si>
  <si>
    <t>Pinta liquida (us)</t>
  </si>
  <si>
    <t>Bandeja / paquete de bandeja</t>
  </si>
  <si>
    <t>Media pinta (us)</t>
  </si>
  <si>
    <t>Libra por pulgada de ancho</t>
  </si>
  <si>
    <t>Peck dry (us)</t>
  </si>
  <si>
    <t>Peck dry (reino unido)</t>
  </si>
  <si>
    <t>Comida</t>
  </si>
  <si>
    <t>Página – facsímil</t>
  </si>
  <si>
    <t>Cuarto (de un año)</t>
  </si>
  <si>
    <t>Página – copia impresa</t>
  </si>
  <si>
    <t>Cuarto de docena</t>
  </si>
  <si>
    <t>Un cuarto de hora</t>
  </si>
  <si>
    <t>Cuarto de kilogramo</t>
  </si>
  <si>
    <t>Mano de papel</t>
  </si>
  <si>
    <t>Cuarto de galón (us)</t>
  </si>
  <si>
    <t>Cuarto seco (ee. uu.)</t>
  </si>
  <si>
    <t>Cuarto de galón (reino unido)</t>
  </si>
  <si>
    <t>Cuarto líquido (us)</t>
  </si>
  <si>
    <t>Cuarto (uk)</t>
  </si>
  <si>
    <t>Pica</t>
  </si>
  <si>
    <t>Caloría</t>
  </si>
  <si>
    <t>Mil metros cúbicos</t>
  </si>
  <si>
    <t>Estante</t>
  </si>
  <si>
    <t>Barra</t>
  </si>
  <si>
    <t>Anillo</t>
  </si>
  <si>
    <t>Hora de funcionamiento o de funcionamiento</t>
  </si>
  <si>
    <t>Medida métrica rollo</t>
  </si>
  <si>
    <t>Carrete</t>
  </si>
  <si>
    <t>Resma</t>
  </si>
  <si>
    <t>Medida métrica de resma</t>
  </si>
  <si>
    <t>Rodar</t>
  </si>
  <si>
    <t>Libra por resma</t>
  </si>
  <si>
    <t>Revoluciones por minuto</t>
  </si>
  <si>
    <t>Revoluciones por segundo</t>
  </si>
  <si>
    <t>Reiniciar</t>
  </si>
  <si>
    <t>Ingreso tonelada milla</t>
  </si>
  <si>
    <t>Correr</t>
  </si>
  <si>
    <t>Pie cuadrado por segundo</t>
  </si>
  <si>
    <t>Metro cuadrado por segundo</t>
  </si>
  <si>
    <t>Sesenta cuartos de pulgada</t>
  </si>
  <si>
    <t>Sesión</t>
  </si>
  <si>
    <t>Unidad de almacenamiento</t>
  </si>
  <si>
    <t>Unidad de publicidad estándar</t>
  </si>
  <si>
    <t>Saco</t>
  </si>
  <si>
    <t>Medio año (6 meses)</t>
  </si>
  <si>
    <t>Puntuación</t>
  </si>
  <si>
    <t>Escrúpulo</t>
  </si>
  <si>
    <t>Libra solida</t>
  </si>
  <si>
    <t>Sección</t>
  </si>
  <si>
    <t>Conjunto</t>
  </si>
  <si>
    <t>Segmento</t>
  </si>
  <si>
    <t>Tonelada de envío</t>
  </si>
  <si>
    <t>Siemens</t>
  </si>
  <si>
    <t>Camión cisterna dividido</t>
  </si>
  <si>
    <t>Hoja de deslizamiento</t>
  </si>
  <si>
    <t>Milla (milla estatutaria)</t>
  </si>
  <si>
    <t>Varilla cuadrada</t>
  </si>
  <si>
    <t>Paquete de estante</t>
  </si>
  <si>
    <t>Cuadrado</t>
  </si>
  <si>
    <t>Tira</t>
  </si>
  <si>
    <t>Hoja métrica medida</t>
  </si>
  <si>
    <t>Corto estándar (7200 partidos)</t>
  </si>
  <si>
    <t>Piedra (reino unido)</t>
  </si>
  <si>
    <t>Tonelada (us) o tonelada corta (uk
/ us)</t>
  </si>
  <si>
    <t>Patinar</t>
  </si>
  <si>
    <t>Envío</t>
  </si>
  <si>
    <t>Línea de telecomunicaciones en servicio.</t>
  </si>
  <si>
    <t>Mil libras brutas</t>
  </si>
  <si>
    <t>Mil piezas</t>
  </si>
  <si>
    <t>Bolsa de mil</t>
  </si>
  <si>
    <t>Caja de mil</t>
  </si>
  <si>
    <t>Mil galones (us)</t>
  </si>
  <si>
    <t>Mil impresiones</t>
  </si>
  <si>
    <t>Mil pulgadas lineales</t>
  </si>
  <si>
    <t>Décimo pie cúbico</t>
  </si>
  <si>
    <t>Kiloampere hora (mil amperios hora)</t>
  </si>
  <si>
    <t>Camion</t>
  </si>
  <si>
    <t>Termia</t>
  </si>
  <si>
    <t>Totalizador</t>
  </si>
  <si>
    <t>Diez metros cuadrados</t>
  </si>
  <si>
    <t>Mil pulgadas cuadradas</t>
  </si>
  <si>
    <t>Mil centímetros cuadrados</t>
  </si>
  <si>
    <t>Tanque, rectangular</t>
  </si>
  <si>
    <t>Mil pies (lineales)</t>
  </si>
  <si>
    <t>Estaño</t>
  </si>
  <si>
    <t>Tonelada (tonelada métrica)</t>
  </si>
  <si>
    <t>Paquete de diez</t>
  </si>
  <si>
    <t>Diez pares</t>
  </si>
  <si>
    <t>Mil pies</t>
  </si>
  <si>
    <t>Mil metros cúbicos por día</t>
  </si>
  <si>
    <t>Diez pies cuadrados</t>
  </si>
  <si>
    <t>Trillón (eur)</t>
  </si>
  <si>
    <t>Mil pies cuadrados</t>
  </si>
  <si>
    <t>Tonelada de sustancia 90% seca</t>
  </si>
  <si>
    <t>Tonelada de vapor por hora</t>
  </si>
  <si>
    <t>Mil metros lineales</t>
  </si>
  <si>
    <t>Tubo</t>
  </si>
  <si>
    <t>Mil kilogramos</t>
  </si>
  <si>
    <t>Mil hojas</t>
  </si>
  <si>
    <t>Tanque, cilíndrico</t>
  </si>
  <si>
    <t>Tratamiento</t>
  </si>
  <si>
    <t>Tableta</t>
  </si>
  <si>
    <t>Torr</t>
  </si>
  <si>
    <t>Línea de telecomunicaciones en servicio promedio.</t>
  </si>
  <si>
    <t>Puerto de telecomunicaciones</t>
  </si>
  <si>
    <t>Décimo minuto</t>
  </si>
  <si>
    <t>Décima hora</t>
  </si>
  <si>
    <t>Uso por línea de telecomunicación promedio</t>
  </si>
  <si>
    <t>Diez mil yardas</t>
  </si>
  <si>
    <t>Millones de unidades</t>
  </si>
  <si>
    <t>Voltio amperio por kilogramo</t>
  </si>
  <si>
    <t>Frasco</t>
  </si>
  <si>
    <t>Voltio</t>
  </si>
  <si>
    <t>Abultar</t>
  </si>
  <si>
    <t>Visitar</t>
  </si>
  <si>
    <t>Kilo mojado</t>
  </si>
  <si>
    <t>Dos semanas</t>
  </si>
  <si>
    <t>Vatio por kilogramo</t>
  </si>
  <si>
    <t>Libra mojada</t>
  </si>
  <si>
    <t>Cable</t>
  </si>
  <si>
    <t>Tonelada mojada</t>
  </si>
  <si>
    <t>Weber</t>
  </si>
  <si>
    <t>Semana</t>
  </si>
  <si>
    <t>Galon de vino</t>
  </si>
  <si>
    <t>Rueda</t>
  </si>
  <si>
    <t>Vatios hora</t>
  </si>
  <si>
    <t>Peso por pulgada cuadrada</t>
  </si>
  <si>
    <t>Mes de trabajo</t>
  </si>
  <si>
    <t>Envolver</t>
  </si>
  <si>
    <t>Estándar</t>
  </si>
  <si>
    <t>Vatio</t>
  </si>
  <si>
    <t>Mililitro de agua</t>
  </si>
  <si>
    <t>Cadena</t>
  </si>
  <si>
    <t>Yarda cuadrada</t>
  </si>
  <si>
    <t>Yarda cúbica</t>
  </si>
  <si>
    <t>Cien yardas lineales</t>
  </si>
  <si>
    <t>Yarda</t>
  </si>
  <si>
    <t>Diez yardas</t>
  </si>
  <si>
    <t>Van de elevación</t>
  </si>
  <si>
    <t>Pecho</t>
  </si>
  <si>
    <t>Barril</t>
  </si>
  <si>
    <t>Pipa</t>
  </si>
  <si>
    <t>Arrastrar</t>
  </si>
  <si>
    <t>Punto de conferencia</t>
  </si>
  <si>
    <t>Línea de noticias de ágata</t>
  </si>
  <si>
    <t>Página</t>
  </si>
  <si>
    <t>Mutuamente definido</t>
  </si>
  <si>
    <t>CC</t>
  </si>
  <si>
    <t>CE</t>
  </si>
  <si>
    <t>PA</t>
  </si>
  <si>
    <t>Formas de pago</t>
  </si>
  <si>
    <t>Efectivo</t>
  </si>
  <si>
    <t>Tarjeta Débito</t>
  </si>
  <si>
    <t>Consiganción bancaria</t>
  </si>
  <si>
    <t>Giro formato abierto</t>
  </si>
  <si>
    <t>Tarjeta Crédito</t>
  </si>
  <si>
    <t>Transferencia Débito Bancaria</t>
  </si>
  <si>
    <t>Cheque</t>
  </si>
  <si>
    <t>Bonos</t>
  </si>
  <si>
    <t>Vales</t>
  </si>
  <si>
    <t>Transferencia Crédito Bancario</t>
  </si>
  <si>
    <r>
      <t>Cargos</t>
    </r>
    <r>
      <rPr>
        <sz val="11"/>
        <color rgb="FFFF0000"/>
        <rFont val="Calibri"/>
        <family val="2"/>
        <scheme val="minor"/>
      </rPr>
      <t>*</t>
    </r>
    <r>
      <rPr>
        <sz val="11"/>
        <color theme="1"/>
        <rFont val="Calibri"/>
        <family val="2"/>
        <scheme val="minor"/>
      </rPr>
      <t xml:space="preserve"> </t>
    </r>
  </si>
  <si>
    <t>Total cargos</t>
  </si>
  <si>
    <t xml:space="preserve">Total costo de envío </t>
  </si>
  <si>
    <t>CARGOS</t>
  </si>
  <si>
    <t>DÍAS DE COBRO</t>
  </si>
  <si>
    <t>TOTAL COSTO DE ENVÍO</t>
  </si>
  <si>
    <t>TOTAL CARGOS</t>
  </si>
  <si>
    <r>
      <rPr>
        <b/>
        <sz val="11"/>
        <color theme="1"/>
        <rFont val="Calibri"/>
        <family val="2"/>
        <scheme val="minor"/>
      </rPr>
      <t>8.</t>
    </r>
    <r>
      <rPr>
        <sz val="11"/>
        <color theme="1"/>
        <rFont val="Calibri"/>
        <family val="2"/>
        <scheme val="minor"/>
      </rPr>
      <t xml:space="preserve"> Si en el campo de "Tipo de contribuyente" seleccionó la opción de "Persona Jurídica", en el campo de "Responsabilidad fiscal", seleccione la responsabilidad que le aplique al cliente de esta venta.</t>
    </r>
  </si>
  <si>
    <r>
      <rPr>
        <b/>
        <sz val="11"/>
        <color theme="1"/>
        <rFont val="Calibri"/>
        <family val="2"/>
        <scheme val="minor"/>
      </rPr>
      <t>9.</t>
    </r>
    <r>
      <rPr>
        <sz val="11"/>
        <color theme="1"/>
        <rFont val="Calibri"/>
        <family val="2"/>
        <scheme val="minor"/>
      </rPr>
      <t xml:space="preserve"> Si en el campo de "Tipo de pago" seleccionó la opción de "Crédito", en el campo de "Días de cobro", agregue el número de días que tiene el crédito de esta venta.</t>
    </r>
  </si>
  <si>
    <r>
      <rPr>
        <b/>
        <sz val="11"/>
        <color theme="1"/>
        <rFont val="Calibri"/>
        <family val="2"/>
        <scheme val="minor"/>
      </rPr>
      <t xml:space="preserve">10. </t>
    </r>
    <r>
      <rPr>
        <sz val="11"/>
        <color theme="1"/>
        <rFont val="Calibri"/>
        <family val="2"/>
        <scheme val="minor"/>
      </rPr>
      <t>En el campo de "SKU/Código de servicio", agregue el código con el que identifica cada uno de sus productos/servicios</t>
    </r>
  </si>
  <si>
    <r>
      <rPr>
        <b/>
        <sz val="11"/>
        <color theme="1"/>
        <rFont val="Calibri"/>
        <family val="2"/>
        <scheme val="minor"/>
      </rPr>
      <t>11.</t>
    </r>
    <r>
      <rPr>
        <sz val="11"/>
        <color theme="1"/>
        <rFont val="Calibri"/>
        <family val="2"/>
        <scheme val="minor"/>
      </rPr>
      <t xml:space="preserve"> En el campo de "Producto/Servicio", agregue el nombre con el que identifica cada uno de sus productos/servicios</t>
    </r>
  </si>
  <si>
    <r>
      <rPr>
        <b/>
        <sz val="11"/>
        <color theme="1"/>
        <rFont val="Calibri"/>
        <family val="2"/>
        <scheme val="minor"/>
      </rPr>
      <t>12.</t>
    </r>
    <r>
      <rPr>
        <sz val="11"/>
        <color theme="1"/>
        <rFont val="Calibri"/>
        <family val="2"/>
        <scheme val="minor"/>
      </rPr>
      <t xml:space="preserve"> En el campo de "Bodega", agregue el nombre de la bodega desde la cuál sacó el producto para la venta. </t>
    </r>
    <r>
      <rPr>
        <b/>
        <sz val="11"/>
        <color theme="1"/>
        <rFont val="Calibri"/>
        <family val="2"/>
        <scheme val="minor"/>
      </rPr>
      <t>En el caso de los servicios, este campo no aplica.</t>
    </r>
  </si>
  <si>
    <r>
      <rPr>
        <b/>
        <sz val="11"/>
        <color theme="1"/>
        <rFont val="Calibri"/>
        <family val="2"/>
        <scheme val="minor"/>
      </rPr>
      <t>13.</t>
    </r>
    <r>
      <rPr>
        <sz val="11"/>
        <color theme="1"/>
        <rFont val="Calibri"/>
        <family val="2"/>
        <scheme val="minor"/>
      </rPr>
      <t xml:space="preserve"> En el campo de "Lote", agregue el nombre del lote del cuál venderá las unidades del producto. </t>
    </r>
    <r>
      <rPr>
        <b/>
        <sz val="11"/>
        <color theme="1"/>
        <rFont val="Calibri"/>
        <family val="2"/>
        <scheme val="minor"/>
      </rPr>
      <t>En el caso de los servicios, este campo no aplica.</t>
    </r>
  </si>
  <si>
    <r>
      <rPr>
        <b/>
        <sz val="11"/>
        <color theme="1"/>
        <rFont val="Calibri"/>
        <family val="2"/>
        <scheme val="minor"/>
      </rPr>
      <t>14.</t>
    </r>
    <r>
      <rPr>
        <sz val="11"/>
        <color theme="1"/>
        <rFont val="Calibri"/>
        <family val="2"/>
        <scheme val="minor"/>
      </rPr>
      <t xml:space="preserve"> En el campo de "Fecha de vencimiento", agregue la fecha de vencimiento del lote del cuál venderá las unidades del producto. </t>
    </r>
    <r>
      <rPr>
        <b/>
        <sz val="11"/>
        <color theme="1"/>
        <rFont val="Calibri"/>
        <family val="2"/>
        <scheme val="minor"/>
      </rPr>
      <t>En el caso de los servicios, este campo no aplica.</t>
    </r>
  </si>
  <si>
    <r>
      <rPr>
        <b/>
        <sz val="11"/>
        <color theme="1"/>
        <rFont val="Calibri"/>
        <family val="2"/>
        <scheme val="minor"/>
      </rPr>
      <t>15.</t>
    </r>
    <r>
      <rPr>
        <sz val="11"/>
        <color theme="1"/>
        <rFont val="Calibri"/>
        <family val="2"/>
        <scheme val="minor"/>
      </rPr>
      <t xml:space="preserve"> En el campo de "Descripción", si lo desea, puede agregar información sobre el producto/servicio que está vendiendo. Si va a facturar servicios, agregue junto con la descripción de cada uno, el periodo facturado (fecha inicial - fecha final) en este campo.</t>
    </r>
  </si>
  <si>
    <r>
      <rPr>
        <b/>
        <sz val="11"/>
        <color theme="1"/>
        <rFont val="Calibri"/>
        <family val="2"/>
        <scheme val="minor"/>
      </rPr>
      <t xml:space="preserve">16. </t>
    </r>
    <r>
      <rPr>
        <sz val="11"/>
        <color theme="1"/>
        <rFont val="Calibri"/>
        <family val="2"/>
        <scheme val="minor"/>
      </rPr>
      <t>En el campo de "Cant", agregue el número de unidades vendidas del producto/servicio.</t>
    </r>
  </si>
  <si>
    <r>
      <rPr>
        <b/>
        <sz val="11"/>
        <color theme="1"/>
        <rFont val="Calibri"/>
        <family val="2"/>
        <scheme val="minor"/>
      </rPr>
      <t>17.</t>
    </r>
    <r>
      <rPr>
        <sz val="11"/>
        <color theme="1"/>
        <rFont val="Calibri"/>
        <family val="2"/>
        <scheme val="minor"/>
      </rPr>
      <t xml:space="preserve"> En el campo de "Und.Med", seleccione la unidad de medida del producto/servicio vendido.</t>
    </r>
  </si>
  <si>
    <r>
      <rPr>
        <b/>
        <sz val="11"/>
        <color theme="1"/>
        <rFont val="Calibri"/>
        <family val="2"/>
        <scheme val="minor"/>
      </rPr>
      <t>18.</t>
    </r>
    <r>
      <rPr>
        <sz val="11"/>
        <color theme="1"/>
        <rFont val="Calibri"/>
        <family val="2"/>
        <scheme val="minor"/>
      </rPr>
      <t xml:space="preserve"> En el campo de "Valor unitario", agregue el precio de venta del producto/servicio vendido</t>
    </r>
  </si>
  <si>
    <r>
      <rPr>
        <b/>
        <sz val="11"/>
        <color theme="1"/>
        <rFont val="Calibri"/>
        <family val="2"/>
        <scheme val="minor"/>
      </rPr>
      <t>19.</t>
    </r>
    <r>
      <rPr>
        <sz val="11"/>
        <color theme="1"/>
        <rFont val="Calibri"/>
        <family val="2"/>
        <scheme val="minor"/>
      </rPr>
      <t xml:space="preserve"> En el campo de "Dto ($)", agregue el valor del descuento aplicado a cada producto/servicio vendido, en caso de que aplique. Ingrese unicamente el valor sin usar ningún simbolo. Por ejemplo, si el descuento aplicado a un producto es de doscientos pesos, entonces ingrese el valor de 200. </t>
    </r>
  </si>
  <si>
    <r>
      <rPr>
        <b/>
        <sz val="11"/>
        <color theme="1"/>
        <rFont val="Calibri"/>
        <family val="2"/>
        <scheme val="minor"/>
      </rPr>
      <t>20.</t>
    </r>
    <r>
      <rPr>
        <sz val="11"/>
        <color theme="1"/>
        <rFont val="Calibri"/>
        <family val="2"/>
        <scheme val="minor"/>
      </rPr>
      <t xml:space="preserve"> En el campo de "Costo de envío", agregue el valor del costo de envío de sus productos, en caso de que aplique. Si el producto, no tiene costo de envío, agregue el valor de 0 en este campo. </t>
    </r>
    <r>
      <rPr>
        <b/>
        <sz val="11"/>
        <color theme="1"/>
        <rFont val="Calibri"/>
        <family val="2"/>
        <scheme val="minor"/>
      </rPr>
      <t>Este campo no aplica, en el caso de los servicios.</t>
    </r>
  </si>
  <si>
    <r>
      <rPr>
        <b/>
        <sz val="11"/>
        <color theme="1"/>
        <rFont val="Calibri"/>
        <family val="2"/>
        <scheme val="minor"/>
      </rPr>
      <t>21.</t>
    </r>
    <r>
      <rPr>
        <sz val="11"/>
        <color theme="1"/>
        <rFont val="Calibri"/>
        <family val="2"/>
        <scheme val="minor"/>
      </rPr>
      <t xml:space="preserve"> En el campo de "Cargos", agregue cualquier cargo adicional que tengan sus productos/servicios, en caso de que aplique. Si el producto/servicio, no tiene cargos adicionales, agregue el valor de 0 en este campo. </t>
    </r>
  </si>
  <si>
    <r>
      <rPr>
        <b/>
        <sz val="11"/>
        <color theme="1"/>
        <rFont val="Calibri"/>
        <family val="2"/>
        <scheme val="minor"/>
      </rPr>
      <t>22.</t>
    </r>
    <r>
      <rPr>
        <sz val="11"/>
        <color theme="1"/>
        <rFont val="Calibri"/>
        <family val="2"/>
        <scheme val="minor"/>
      </rPr>
      <t xml:space="preserve"> En el campo de "Impoconsumo", seleccione la tarifa del impuesto al consumo que aplique para cada uno de sus productos/servicios vendidos. </t>
    </r>
    <r>
      <rPr>
        <b/>
        <sz val="11"/>
        <color theme="1"/>
        <rFont val="Calibri"/>
        <family val="2"/>
        <scheme val="minor"/>
      </rPr>
      <t>En caso de que no le aplique, deje este campo en blanco.</t>
    </r>
  </si>
  <si>
    <r>
      <rPr>
        <b/>
        <sz val="11"/>
        <color theme="1"/>
        <rFont val="Calibri"/>
        <family val="2"/>
        <scheme val="minor"/>
      </rPr>
      <t>23.</t>
    </r>
    <r>
      <rPr>
        <sz val="11"/>
        <color theme="1"/>
        <rFont val="Calibri"/>
        <family val="2"/>
        <scheme val="minor"/>
      </rPr>
      <t xml:space="preserve"> En el campo de "IVA", seleccione la tarifa del IVA que aplique para cada uno de sus productos/servicios vendidos. </t>
    </r>
  </si>
  <si>
    <r>
      <rPr>
        <b/>
        <sz val="11"/>
        <color theme="1"/>
        <rFont val="Calibri"/>
        <family val="2"/>
        <scheme val="minor"/>
      </rPr>
      <t>24.</t>
    </r>
    <r>
      <rPr>
        <sz val="11"/>
        <color theme="1"/>
        <rFont val="Calibri"/>
        <family val="2"/>
        <scheme val="minor"/>
      </rPr>
      <t xml:space="preserve"> En el campo de "Tarifas" de la tabla de retenciones, agregue de retefuente y reteica de la factura.</t>
    </r>
  </si>
  <si>
    <r>
      <rPr>
        <b/>
        <sz val="11"/>
        <color theme="1"/>
        <rFont val="Calibri"/>
        <family val="2"/>
        <scheme val="minor"/>
      </rPr>
      <t>25.</t>
    </r>
    <r>
      <rPr>
        <sz val="11"/>
        <color theme="1"/>
        <rFont val="Calibri"/>
        <family val="2"/>
        <scheme val="minor"/>
      </rPr>
      <t xml:space="preserve"> Una vez haya terminado de agregar todas sus facturas, no olvide guardar este archivo habilitado para macros. Haga click en </t>
    </r>
    <r>
      <rPr>
        <b/>
        <sz val="11"/>
        <color theme="1"/>
        <rFont val="Calibri"/>
        <family val="2"/>
        <scheme val="minor"/>
      </rPr>
      <t>Guardar como</t>
    </r>
    <r>
      <rPr>
        <sz val="11"/>
        <color theme="1"/>
        <rFont val="Calibri"/>
        <family val="2"/>
        <scheme val="minor"/>
      </rPr>
      <t xml:space="preserve">, agregue el nombre de su archivo y debajo de este campo en el de </t>
    </r>
    <r>
      <rPr>
        <b/>
        <sz val="11"/>
        <color theme="1"/>
        <rFont val="Calibri"/>
        <family val="2"/>
        <scheme val="minor"/>
      </rPr>
      <t xml:space="preserve">Tipo </t>
    </r>
    <r>
      <rPr>
        <sz val="11"/>
        <color theme="1"/>
        <rFont val="Calibri"/>
        <family val="2"/>
        <scheme val="minor"/>
      </rPr>
      <t>seleccione la opción de: Libro de Excel habilitado para macros.</t>
    </r>
  </si>
  <si>
    <t>Exento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</si>
</sst>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_);_(&quot;$&quot;* \(#,##0\);_(&quot;$&quot;* &quot;-&quot;_);_(@_)"/>
    <numFmt numFmtId="165" formatCode="_(&quot;$&quot;* #,##0.00_);_(&quot;$&quot;* \(#,##0.00\);_(&quot;$&quot;* &quot;-&quot;??_);_(@_)"/>
    <numFmt numFmtId="166" formatCode="_-&quot;$&quot;* #,##0_-;\-&quot;$&quot;* #,##0_-;_-&quot;$&quot;* &quot;-&quot;_-;_-@_-"/>
    <numFmt numFmtId="167" formatCode="&quot;$&quot;#,##0;[Red]\-&quot;$&quot;#,##0"/>
    <numFmt numFmtId="168" formatCode="_-&quot;$&quot;\ * #,##0_-;\-&quot;$&quot;\ * #,##0_-;_-&quot;$&quot;\ * &quot;-&quot;??_-;_-@_-"/>
    <numFmt numFmtId="169" formatCode="[$-F400]h:mm:ss\ AM/PM"/>
  </numFmts>
  <fonts count="14"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8"/>
      <name val="Calibri"/>
      <family val="2"/>
      <scheme val="minor"/>
    </font>
    <font>
      <sz val="12"/>
      <color theme="1"/>
      <name val="Calibri"/>
      <family val="2"/>
      <scheme val="minor"/>
    </font>
    <font>
      <u/>
      <sz val="12"/>
      <color theme="10"/>
      <name val="Calibri"/>
      <family val="2"/>
      <scheme val="minor"/>
    </font>
    <font>
      <b/>
      <sz val="12"/>
      <color theme="1"/>
      <name val="Calibri"/>
      <family val="2"/>
      <scheme val="minor"/>
    </font>
    <font>
      <b/>
      <sz val="12"/>
      <color theme="0"/>
      <name val="Calibri"/>
      <family val="2"/>
      <scheme val="minor"/>
    </font>
    <font>
      <sz val="11"/>
      <color rgb="FFFF0000"/>
      <name val="Calibri"/>
      <family val="2"/>
      <scheme val="minor"/>
    </font>
    <font>
      <sz val="9"/>
      <color indexed="81"/>
      <name val="Tahoma"/>
      <family val="2"/>
    </font>
    <font>
      <b/>
      <sz val="9"/>
      <color indexed="81"/>
      <name val="Tahoma"/>
      <family val="2"/>
    </font>
    <font>
      <sz val="11"/>
      <name val="Calibri"/>
      <family val="2"/>
      <scheme val="minor"/>
    </font>
    <font>
      <sz val="11"/>
      <color theme="0"/>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tint="-0.249977111117893"/>
        <bgColor indexed="64"/>
      </patternFill>
    </fill>
    <fill>
      <patternFill patternType="solid">
        <fgColor rgb="FF002060"/>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2" tint="-0.249977111117893"/>
      </left>
      <right/>
      <top style="thin">
        <color theme="2" tint="-0.249977111117893"/>
      </top>
      <bottom style="thin">
        <color theme="2" tint="-0.249977111117893"/>
      </bottom>
      <diagonal/>
    </border>
    <border>
      <left/>
      <right style="thin">
        <color theme="2" tint="-0.249977111117893"/>
      </right>
      <top style="thin">
        <color theme="2" tint="-0.249977111117893"/>
      </top>
      <bottom style="thin">
        <color theme="2" tint="-0.249977111117893"/>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2" tint="-0.249977111117893"/>
      </left>
      <right/>
      <top/>
      <bottom/>
      <diagonal/>
    </border>
    <border>
      <left/>
      <right style="thin">
        <color theme="2" tint="-0.249977111117893"/>
      </right>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thin">
        <color theme="2" tint="-0.249977111117893"/>
      </left>
      <right/>
      <top/>
      <bottom style="thin">
        <color theme="2" tint="-0.249977111117893"/>
      </bottom>
      <diagonal/>
    </border>
    <border>
      <left/>
      <right style="thin">
        <color theme="2" tint="-0.249977111117893"/>
      </right>
      <top/>
      <bottom style="thin">
        <color theme="2" tint="-0.249977111117893"/>
      </bottom>
      <diagonal/>
    </border>
    <border>
      <left/>
      <right style="thin">
        <color theme="0" tint="-0.34998626667073579"/>
      </right>
      <top/>
      <bottom style="thin">
        <color theme="0" tint="-0.34998626667073579"/>
      </bottom>
      <diagonal/>
    </border>
    <border>
      <left/>
      <right/>
      <top style="thin">
        <color theme="2" tint="-0.249977111117893"/>
      </top>
      <bottom style="thin">
        <color theme="2" tint="-0.249977111117893"/>
      </bottom>
      <diagonal/>
    </border>
    <border>
      <left/>
      <right/>
      <top/>
      <bottom style="thin">
        <color theme="2" tint="-0.249977111117893"/>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indexed="64"/>
      </right>
      <top style="thin">
        <color theme="0" tint="-0.34998626667073579"/>
      </top>
      <bottom style="thin">
        <color theme="0" tint="-0.34998626667073579"/>
      </bottom>
      <diagonal/>
    </border>
    <border>
      <left/>
      <right style="thin">
        <color indexed="64"/>
      </right>
      <top style="thin">
        <color indexed="64"/>
      </top>
      <bottom style="thin">
        <color indexed="64"/>
      </bottom>
      <diagonal/>
    </border>
    <border>
      <left style="thin">
        <color theme="0" tint="-0.34998626667073579"/>
      </left>
      <right style="thin">
        <color indexed="64"/>
      </right>
      <top/>
      <bottom style="thin">
        <color theme="0" tint="-0.34998626667073579"/>
      </bottom>
      <diagonal/>
    </border>
    <border>
      <left style="thin">
        <color indexed="64"/>
      </left>
      <right style="thin">
        <color indexed="64"/>
      </right>
      <top/>
      <bottom style="thin">
        <color theme="0" tint="-0.34998626667073579"/>
      </bottom>
      <diagonal/>
    </border>
    <border>
      <left style="thin">
        <color indexed="64"/>
      </left>
      <right/>
      <top/>
      <bottom/>
      <diagonal/>
    </border>
    <border>
      <left style="thin">
        <color indexed="64"/>
      </left>
      <right style="thin">
        <color indexed="64"/>
      </right>
      <top/>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style="thin">
        <color theme="2" tint="-0.249977111117893"/>
      </right>
      <top/>
      <bottom/>
      <diagonal/>
    </border>
    <border>
      <left style="thin">
        <color theme="2" tint="-0.249977111117893"/>
      </left>
      <right style="thin">
        <color theme="2" tint="-0.249977111117893"/>
      </right>
      <top/>
      <bottom style="thin">
        <color theme="2" tint="-0.249977111117893"/>
      </bottom>
      <diagonal/>
    </border>
    <border>
      <left style="thin">
        <color theme="2" tint="-0.249977111117893"/>
      </left>
      <right/>
      <top style="thin">
        <color theme="2" tint="-0.249977111117893"/>
      </top>
      <bottom style="thin">
        <color theme="0" tint="-0.34998626667073579"/>
      </bottom>
      <diagonal/>
    </border>
    <border>
      <left/>
      <right/>
      <top style="thin">
        <color theme="2" tint="-0.249977111117893"/>
      </top>
      <bottom style="thin">
        <color theme="0" tint="-0.34998626667073579"/>
      </bottom>
      <diagonal/>
    </border>
    <border>
      <left/>
      <right style="thin">
        <color theme="2" tint="-0.249977111117893"/>
      </right>
      <top style="thin">
        <color theme="2" tint="-0.249977111117893"/>
      </top>
      <bottom style="thin">
        <color theme="0" tint="-0.34998626667073579"/>
      </bottom>
      <diagonal/>
    </border>
    <border>
      <left/>
      <right/>
      <top style="thin">
        <color theme="0" tint="-0.34998626667073579"/>
      </top>
      <bottom style="thin">
        <color theme="2" tint="-0.249977111117893"/>
      </bottom>
      <diagonal/>
    </border>
    <border>
      <left/>
      <right style="thin">
        <color theme="2" tint="-0.249977111117893"/>
      </right>
      <top style="thin">
        <color theme="0" tint="-0.34998626667073579"/>
      </top>
      <bottom style="thin">
        <color theme="2" tint="-0.249977111117893"/>
      </bottom>
      <diagonal/>
    </border>
    <border>
      <left style="thin">
        <color theme="2" tint="-0.249977111117893"/>
      </left>
      <right style="thin">
        <color indexed="64"/>
      </right>
      <top style="thin">
        <color theme="2" tint="-0.249977111117893"/>
      </top>
      <bottom style="thin">
        <color indexed="64"/>
      </bottom>
      <diagonal/>
    </border>
    <border>
      <left style="thin">
        <color indexed="64"/>
      </left>
      <right style="thin">
        <color indexed="64"/>
      </right>
      <top style="thin">
        <color theme="2" tint="-0.249977111117893"/>
      </top>
      <bottom style="thin">
        <color indexed="64"/>
      </bottom>
      <diagonal/>
    </border>
    <border>
      <left style="thin">
        <color indexed="64"/>
      </left>
      <right style="thin">
        <color theme="2" tint="-0.249977111117893"/>
      </right>
      <top style="thin">
        <color theme="2" tint="-0.249977111117893"/>
      </top>
      <bottom style="thin">
        <color indexed="64"/>
      </bottom>
      <diagonal/>
    </border>
    <border>
      <left style="thin">
        <color theme="2" tint="-0.249977111117893"/>
      </left>
      <right style="thin">
        <color indexed="64"/>
      </right>
      <top style="thin">
        <color indexed="64"/>
      </top>
      <bottom style="thin">
        <color theme="2" tint="-0.249977111117893"/>
      </bottom>
      <diagonal/>
    </border>
    <border>
      <left style="thin">
        <color indexed="64"/>
      </left>
      <right style="thin">
        <color indexed="64"/>
      </right>
      <top style="thin">
        <color indexed="64"/>
      </top>
      <bottom style="thin">
        <color theme="2" tint="-0.249977111117893"/>
      </bottom>
      <diagonal/>
    </border>
    <border>
      <left style="thin">
        <color indexed="64"/>
      </left>
      <right style="thin">
        <color theme="2" tint="-0.249977111117893"/>
      </right>
      <top style="thin">
        <color indexed="64"/>
      </top>
      <bottom style="thin">
        <color theme="2" tint="-0.249977111117893"/>
      </bottom>
      <diagonal/>
    </border>
    <border>
      <left style="thin">
        <color theme="2" tint="-0.249977111117893"/>
      </left>
      <right/>
      <top style="thin">
        <color theme="2" tint="-0.249977111117893"/>
      </top>
      <bottom style="thin">
        <color indexed="64"/>
      </bottom>
      <diagonal/>
    </border>
    <border>
      <left style="thin">
        <color theme="2" tint="-0.249977111117893"/>
      </left>
      <right/>
      <top style="thin">
        <color indexed="64"/>
      </top>
      <bottom style="thin">
        <color theme="2" tint="-0.249977111117893"/>
      </bottom>
      <diagonal/>
    </border>
    <border>
      <left/>
      <right/>
      <top style="thin">
        <color theme="2" tint="-0.249977111117893"/>
      </top>
      <bottom/>
      <diagonal/>
    </border>
    <border>
      <left style="thin">
        <color theme="1"/>
      </left>
      <right style="thin">
        <color theme="1"/>
      </right>
      <top style="thin">
        <color theme="1"/>
      </top>
      <bottom style="thin">
        <color theme="1"/>
      </bottom>
      <diagonal/>
    </border>
    <border>
      <left style="thin">
        <color theme="0" tint="-0.34998626667073579"/>
      </left>
      <right style="thin">
        <color theme="2" tint="-0.249977111117893"/>
      </right>
      <top/>
      <bottom/>
      <diagonal/>
    </border>
    <border>
      <left style="thin">
        <color theme="2" tint="-0.249977111117893"/>
      </left>
      <right style="thin">
        <color theme="0" tint="-0.34998626667073579"/>
      </right>
      <top style="thin">
        <color theme="0" tint="-0.34998626667073579"/>
      </top>
      <bottom style="thin">
        <color theme="0" tint="-0.34998626667073579"/>
      </bottom>
      <diagonal/>
    </border>
  </borders>
  <cellStyleXfs count="8">
    <xf numFmtId="0" fontId="0" fillId="0" borderId="0"/>
    <xf numFmtId="165" fontId="1" fillId="0" borderId="0" applyFont="0" applyFill="0" applyBorder="0" applyAlignment="0" applyProtection="0"/>
    <xf numFmtId="0" fontId="3" fillId="0" borderId="0" applyNumberFormat="0" applyFill="0" applyBorder="0" applyAlignment="0" applyProtection="0"/>
    <xf numFmtId="0" fontId="5" fillId="0" borderId="0"/>
    <xf numFmtId="0" fontId="6" fillId="0" borderId="0" applyNumberFormat="0" applyFill="0" applyBorder="0" applyAlignment="0" applyProtection="0"/>
    <xf numFmtId="166" fontId="5"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248">
    <xf numFmtId="0" fontId="0" fillId="0" borderId="0" xfId="0"/>
    <xf numFmtId="0" fontId="0" fillId="0" borderId="0" xfId="0" applyAlignment="1">
      <alignment horizontal="center"/>
    </xf>
    <xf numFmtId="0" fontId="0" fillId="0" borderId="1" xfId="0" applyBorder="1"/>
    <xf numFmtId="0" fontId="0" fillId="0" borderId="2" xfId="0" applyBorder="1"/>
    <xf numFmtId="0" fontId="2" fillId="2" borderId="0" xfId="0" applyFont="1" applyFill="1" applyAlignment="1" applyProtection="1">
      <alignment horizontal="center" vertical="center" wrapText="1"/>
      <protection hidden="1"/>
    </xf>
    <xf numFmtId="0" fontId="0" fillId="2" borderId="0" xfId="0" applyFill="1" applyProtection="1">
      <protection hidden="1"/>
    </xf>
    <xf numFmtId="0" fontId="0" fillId="0" borderId="0" xfId="0" applyAlignment="1" applyProtection="1">
      <alignment horizontal="center"/>
      <protection locked="0"/>
    </xf>
    <xf numFmtId="0" fontId="0" fillId="0" borderId="0" xfId="0" applyProtection="1">
      <protection locked="0"/>
    </xf>
    <xf numFmtId="0" fontId="2" fillId="0" borderId="0" xfId="0" applyFont="1" applyProtection="1">
      <protection locked="0"/>
    </xf>
    <xf numFmtId="0" fontId="0" fillId="0" borderId="4" xfId="0" applyBorder="1"/>
    <xf numFmtId="0" fontId="0" fillId="0" borderId="5" xfId="0" applyBorder="1"/>
    <xf numFmtId="0" fontId="0" fillId="3" borderId="7" xfId="0" applyFill="1" applyBorder="1" applyAlignment="1">
      <alignment horizontal="center" vertical="center"/>
    </xf>
    <xf numFmtId="0" fontId="0" fillId="3" borderId="7" xfId="0" applyFill="1" applyBorder="1" applyAlignment="1">
      <alignment horizontal="center" vertical="center" wrapText="1"/>
    </xf>
    <xf numFmtId="0" fontId="0" fillId="3" borderId="8" xfId="0" applyFill="1"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horizontal="center" vertical="center"/>
    </xf>
    <xf numFmtId="0" fontId="0" fillId="0" borderId="6" xfId="0" applyBorder="1"/>
    <xf numFmtId="0" fontId="0" fillId="0" borderId="22" xfId="0" applyBorder="1"/>
    <xf numFmtId="166" fontId="0" fillId="0" borderId="0" xfId="0" applyNumberFormat="1" applyAlignment="1">
      <alignment horizontal="center"/>
    </xf>
    <xf numFmtId="167" fontId="0" fillId="0" borderId="0" xfId="0" applyNumberFormat="1" applyAlignment="1">
      <alignment horizontal="right"/>
    </xf>
    <xf numFmtId="166" fontId="7" fillId="0" borderId="0" xfId="0" applyNumberFormat="1" applyFont="1" applyAlignment="1">
      <alignment horizontal="center"/>
    </xf>
    <xf numFmtId="0" fontId="7" fillId="0" borderId="0" xfId="0" applyFont="1" applyAlignment="1">
      <alignment horizontal="left"/>
    </xf>
    <xf numFmtId="0" fontId="0" fillId="0" borderId="0" xfId="0" applyAlignment="1">
      <alignment horizontal="left" vertical="top" wrapText="1"/>
    </xf>
    <xf numFmtId="0" fontId="0" fillId="0" borderId="0" xfId="0" applyBorder="1" applyAlignment="1">
      <alignment horizontal="center"/>
    </xf>
    <xf numFmtId="0" fontId="0" fillId="0" borderId="0" xfId="0" applyBorder="1"/>
    <xf numFmtId="0" fontId="0" fillId="0" borderId="0" xfId="0" applyBorder="1" applyAlignment="1">
      <alignment horizontal="center" wrapText="1"/>
    </xf>
    <xf numFmtId="0" fontId="0" fillId="0" borderId="0" xfId="0" quotePrefix="1" applyBorder="1" applyAlignment="1">
      <alignment horizontal="center"/>
    </xf>
    <xf numFmtId="0" fontId="0" fillId="0" borderId="27" xfId="0" applyBorder="1"/>
    <xf numFmtId="0" fontId="2" fillId="0" borderId="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0" fillId="0" borderId="2" xfId="0" applyBorder="1" applyAlignment="1" applyProtection="1">
      <alignment horizontal="center"/>
      <protection locked="0"/>
    </xf>
    <xf numFmtId="0" fontId="2" fillId="0" borderId="1" xfId="0" applyFont="1" applyBorder="1"/>
    <xf numFmtId="0" fontId="2" fillId="0" borderId="1" xfId="0" applyFont="1" applyFill="1" applyBorder="1" applyAlignment="1" applyProtection="1">
      <alignment horizontal="center" vertical="center" wrapText="1"/>
      <protection locked="0"/>
    </xf>
    <xf numFmtId="9" fontId="0" fillId="0" borderId="1" xfId="0" applyNumberFormat="1" applyBorder="1" applyAlignment="1">
      <alignment horizontal="right"/>
    </xf>
    <xf numFmtId="0" fontId="0" fillId="0" borderId="1" xfId="0" applyBorder="1" applyAlignment="1">
      <alignment horizontal="right"/>
    </xf>
    <xf numFmtId="164" fontId="0" fillId="2" borderId="3" xfId="6" applyFont="1" applyFill="1" applyBorder="1" applyProtection="1">
      <protection hidden="1"/>
    </xf>
    <xf numFmtId="0" fontId="0" fillId="2" borderId="6" xfId="0" applyFill="1" applyBorder="1" applyProtection="1">
      <protection hidden="1"/>
    </xf>
    <xf numFmtId="164" fontId="0" fillId="2" borderId="13" xfId="6" applyFont="1" applyFill="1" applyBorder="1" applyProtection="1">
      <protection hidden="1"/>
    </xf>
    <xf numFmtId="0" fontId="0" fillId="2" borderId="17" xfId="0" applyFill="1" applyBorder="1" applyProtection="1">
      <protection hidden="1"/>
    </xf>
    <xf numFmtId="0" fontId="0" fillId="2" borderId="18" xfId="0" applyFill="1" applyBorder="1" applyProtection="1">
      <protection hidden="1"/>
    </xf>
    <xf numFmtId="0" fontId="0" fillId="0" borderId="3" xfId="0" applyBorder="1" applyProtection="1">
      <protection locked="0"/>
    </xf>
    <xf numFmtId="0" fontId="0" fillId="0" borderId="0" xfId="0" applyBorder="1" applyProtection="1">
      <protection locked="0"/>
    </xf>
    <xf numFmtId="0" fontId="0" fillId="0" borderId="2"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26" xfId="0" applyBorder="1" applyAlignment="1" applyProtection="1">
      <alignment horizontal="center"/>
      <protection locked="0"/>
    </xf>
    <xf numFmtId="0" fontId="0" fillId="0" borderId="9" xfId="0" applyBorder="1" applyAlignment="1" applyProtection="1">
      <alignment horizontal="center"/>
      <protection locked="0"/>
    </xf>
    <xf numFmtId="0" fontId="0" fillId="3" borderId="0" xfId="0" applyFill="1" applyAlignment="1" applyProtection="1">
      <alignment horizontal="left"/>
      <protection locked="0"/>
    </xf>
    <xf numFmtId="0" fontId="0" fillId="3" borderId="10" xfId="0" applyFill="1" applyBorder="1" applyAlignment="1" applyProtection="1">
      <alignment horizontal="left"/>
      <protection locked="0"/>
    </xf>
    <xf numFmtId="0" fontId="0" fillId="0" borderId="9" xfId="0" applyBorder="1" applyAlignment="1" applyProtection="1">
      <alignment horizontal="center"/>
      <protection locked="0"/>
    </xf>
    <xf numFmtId="0" fontId="0" fillId="3" borderId="0" xfId="0" applyFill="1" applyProtection="1">
      <protection locked="0"/>
    </xf>
    <xf numFmtId="0" fontId="0" fillId="0" borderId="8" xfId="0" applyBorder="1" applyAlignment="1" applyProtection="1">
      <alignment horizontal="center"/>
      <protection locked="0"/>
    </xf>
    <xf numFmtId="0" fontId="0" fillId="0" borderId="8" xfId="0" applyBorder="1" applyAlignment="1" applyProtection="1">
      <protection locked="0"/>
    </xf>
    <xf numFmtId="0" fontId="0" fillId="0" borderId="9" xfId="0" applyBorder="1" applyProtection="1">
      <protection locked="0"/>
    </xf>
    <xf numFmtId="0" fontId="0" fillId="0" borderId="8" xfId="0" applyBorder="1" applyProtection="1">
      <protection locked="0"/>
    </xf>
    <xf numFmtId="0" fontId="0" fillId="3" borderId="0" xfId="0" applyFill="1" applyAlignment="1" applyProtection="1">
      <alignment horizontal="left"/>
    </xf>
    <xf numFmtId="0" fontId="0" fillId="3" borderId="0" xfId="0" applyFill="1" applyAlignment="1" applyProtection="1">
      <alignment horizontal="left"/>
      <protection hidden="1"/>
    </xf>
    <xf numFmtId="49" fontId="0" fillId="2" borderId="13" xfId="0" applyNumberFormat="1" applyFill="1" applyBorder="1" applyAlignment="1" applyProtection="1">
      <alignment horizontal="center"/>
      <protection hidden="1"/>
    </xf>
    <xf numFmtId="49" fontId="0" fillId="2" borderId="17" xfId="0" applyNumberFormat="1" applyFill="1" applyBorder="1" applyAlignment="1" applyProtection="1">
      <alignment horizontal="center"/>
      <protection hidden="1"/>
    </xf>
    <xf numFmtId="0" fontId="0" fillId="2" borderId="17" xfId="0" applyFill="1" applyBorder="1" applyAlignment="1" applyProtection="1">
      <alignment horizontal="center"/>
      <protection hidden="1"/>
    </xf>
    <xf numFmtId="0" fontId="0" fillId="2" borderId="18" xfId="0" applyFill="1" applyBorder="1" applyAlignment="1" applyProtection="1">
      <alignment horizontal="center"/>
      <protection hidden="1"/>
    </xf>
    <xf numFmtId="49" fontId="0" fillId="0" borderId="14" xfId="0" applyNumberFormat="1" applyBorder="1" applyAlignment="1" applyProtection="1">
      <alignment horizontal="center"/>
      <protection locked="0"/>
    </xf>
    <xf numFmtId="0" fontId="0" fillId="0" borderId="15" xfId="0" applyBorder="1" applyAlignment="1" applyProtection="1">
      <alignment horizontal="center" wrapText="1"/>
      <protection locked="0"/>
    </xf>
    <xf numFmtId="0" fontId="0" fillId="0" borderId="16" xfId="0" applyBorder="1" applyAlignment="1" applyProtection="1">
      <alignment horizontal="center" wrapText="1"/>
      <protection locked="0"/>
    </xf>
    <xf numFmtId="0" fontId="0" fillId="0" borderId="3" xfId="0" applyBorder="1" applyAlignment="1" applyProtection="1">
      <alignment horizontal="center"/>
      <protection locked="0"/>
    </xf>
    <xf numFmtId="0" fontId="0" fillId="0" borderId="13" xfId="0" applyBorder="1" applyAlignment="1" applyProtection="1">
      <alignment horizontal="center"/>
      <protection locked="0"/>
    </xf>
    <xf numFmtId="164" fontId="0" fillId="0" borderId="13" xfId="6" applyFont="1" applyBorder="1" applyProtection="1">
      <protection locked="0"/>
    </xf>
    <xf numFmtId="0" fontId="0" fillId="0" borderId="10" xfId="0" applyBorder="1" applyAlignment="1" applyProtection="1">
      <alignment horizontal="center"/>
      <protection locked="0"/>
    </xf>
    <xf numFmtId="0" fontId="0" fillId="0" borderId="17" xfId="0" applyBorder="1" applyAlignment="1" applyProtection="1">
      <alignment horizontal="center"/>
      <protection locked="0"/>
    </xf>
    <xf numFmtId="0" fontId="0" fillId="0" borderId="17" xfId="0" applyBorder="1" applyProtection="1">
      <protection locked="0"/>
    </xf>
    <xf numFmtId="0" fontId="0" fillId="0" borderId="19" xfId="0" applyBorder="1" applyAlignment="1" applyProtection="1">
      <alignment horizontal="center"/>
      <protection locked="0"/>
    </xf>
    <xf numFmtId="0" fontId="0" fillId="0" borderId="20" xfId="0" applyBorder="1" applyAlignment="1" applyProtection="1">
      <alignment horizontal="center" wrapText="1"/>
      <protection locked="0"/>
    </xf>
    <xf numFmtId="0" fontId="0" fillId="0" borderId="21" xfId="0" applyBorder="1" applyAlignment="1" applyProtection="1">
      <alignment horizontal="center" wrapText="1"/>
      <protection locked="0"/>
    </xf>
    <xf numFmtId="0" fontId="0" fillId="0" borderId="6" xfId="0" applyBorder="1" applyAlignment="1" applyProtection="1">
      <alignment horizontal="center"/>
      <protection locked="0"/>
    </xf>
    <xf numFmtId="0" fontId="0" fillId="0" borderId="18" xfId="0" applyBorder="1" applyAlignment="1" applyProtection="1">
      <alignment horizontal="center"/>
      <protection locked="0"/>
    </xf>
    <xf numFmtId="0" fontId="0" fillId="0" borderId="18" xfId="0" applyBorder="1" applyProtection="1">
      <protection locked="0"/>
    </xf>
    <xf numFmtId="164" fontId="0" fillId="0" borderId="3" xfId="6" applyFont="1" applyBorder="1" applyProtection="1">
      <protection locked="0"/>
    </xf>
    <xf numFmtId="0" fontId="0" fillId="0" borderId="6" xfId="0" applyBorder="1" applyProtection="1">
      <protection locked="0"/>
    </xf>
    <xf numFmtId="9" fontId="0" fillId="0" borderId="4" xfId="0" quotePrefix="1" applyNumberFormat="1" applyBorder="1" applyProtection="1">
      <protection locked="0"/>
    </xf>
    <xf numFmtId="9" fontId="0" fillId="0" borderId="4" xfId="0" applyNumberFormat="1" applyBorder="1" applyProtection="1">
      <protection locked="0"/>
    </xf>
    <xf numFmtId="9" fontId="0" fillId="0" borderId="5" xfId="0" quotePrefix="1" applyNumberFormat="1" applyBorder="1" applyProtection="1">
      <protection locked="0"/>
    </xf>
    <xf numFmtId="9" fontId="0" fillId="0" borderId="5" xfId="0" applyNumberFormat="1" applyBorder="1" applyProtection="1">
      <protection locked="0"/>
    </xf>
    <xf numFmtId="9" fontId="0" fillId="0" borderId="22" xfId="0" quotePrefix="1" applyNumberFormat="1" applyBorder="1" applyProtection="1">
      <protection locked="0"/>
    </xf>
    <xf numFmtId="9" fontId="0" fillId="0" borderId="22" xfId="0" applyNumberFormat="1" applyBorder="1" applyProtection="1">
      <protection locked="0"/>
    </xf>
    <xf numFmtId="0" fontId="0" fillId="0" borderId="27" xfId="0" quotePrefix="1" applyBorder="1"/>
    <xf numFmtId="0" fontId="0" fillId="0" borderId="1" xfId="0" quotePrefix="1" applyBorder="1"/>
    <xf numFmtId="0" fontId="0" fillId="0" borderId="28" xfId="0" applyBorder="1" applyAlignment="1" applyProtection="1">
      <alignment horizontal="center"/>
      <protection locked="0"/>
    </xf>
    <xf numFmtId="0" fontId="0" fillId="0" borderId="29" xfId="0" applyBorder="1" applyAlignment="1" applyProtection="1">
      <alignment horizontal="center"/>
      <protection locked="0"/>
    </xf>
    <xf numFmtId="0" fontId="0" fillId="0" borderId="22" xfId="0" applyBorder="1" applyAlignment="1" applyProtection="1">
      <alignment horizontal="center"/>
      <protection locked="0"/>
    </xf>
    <xf numFmtId="0" fontId="2" fillId="3" borderId="6" xfId="0" applyFont="1" applyFill="1" applyBorder="1" applyAlignment="1" applyProtection="1">
      <alignment horizontal="center"/>
    </xf>
    <xf numFmtId="0" fontId="0" fillId="0" borderId="0"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wrapText="1"/>
    </xf>
    <xf numFmtId="0" fontId="0" fillId="0" borderId="0" xfId="0" applyAlignment="1">
      <alignment horizontal="center" wrapText="1"/>
    </xf>
    <xf numFmtId="0" fontId="2" fillId="0" borderId="0" xfId="0" applyFont="1" applyBorder="1" applyProtection="1">
      <protection locked="0"/>
    </xf>
    <xf numFmtId="0" fontId="2" fillId="0" borderId="2" xfId="0" applyFont="1" applyFill="1" applyBorder="1" applyAlignment="1" applyProtection="1">
      <alignment horizontal="center" vertical="center" wrapText="1"/>
      <protection locked="0"/>
    </xf>
    <xf numFmtId="9" fontId="0" fillId="0" borderId="2" xfId="0" applyNumberFormat="1" applyBorder="1" applyAlignment="1">
      <alignment horizontal="right"/>
    </xf>
    <xf numFmtId="0" fontId="2" fillId="0" borderId="1" xfId="0" applyFont="1" applyBorder="1" applyAlignment="1">
      <alignment horizontal="center" wrapText="1"/>
    </xf>
    <xf numFmtId="0" fontId="2" fillId="0" borderId="2" xfId="0" applyFont="1" applyFill="1" applyBorder="1" applyAlignment="1">
      <alignment horizontal="center" wrapText="1"/>
    </xf>
    <xf numFmtId="0" fontId="0" fillId="0" borderId="13" xfId="6" applyNumberFormat="1" applyFont="1" applyBorder="1" applyProtection="1">
      <protection locked="0"/>
    </xf>
    <xf numFmtId="0" fontId="2" fillId="0" borderId="31" xfId="0" applyFont="1" applyFill="1" applyBorder="1" applyAlignment="1" applyProtection="1">
      <alignment horizontal="center" vertical="center" wrapText="1"/>
      <protection locked="0"/>
    </xf>
    <xf numFmtId="0" fontId="0" fillId="0" borderId="1" xfId="0" applyFont="1" applyFill="1" applyBorder="1" applyAlignment="1">
      <alignment horizontal="left" wrapText="1"/>
    </xf>
    <xf numFmtId="0" fontId="0" fillId="0" borderId="1" xfId="0" applyFill="1" applyBorder="1"/>
    <xf numFmtId="0" fontId="0" fillId="3" borderId="0" xfId="0" applyFill="1" applyProtection="1">
      <protection hidden="1"/>
    </xf>
    <xf numFmtId="0" fontId="2" fillId="0" borderId="0" xfId="0" applyFont="1"/>
    <xf numFmtId="168" fontId="0" fillId="0" borderId="0" xfId="1" applyNumberFormat="1" applyFont="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21" fontId="0" fillId="0" borderId="0" xfId="0" applyNumberFormat="1" applyAlignment="1">
      <alignment horizontal="center" vertical="center"/>
    </xf>
    <xf numFmtId="14" fontId="0" fillId="0" borderId="0" xfId="0" applyNumberFormat="1" applyAlignment="1">
      <alignment horizontal="center"/>
    </xf>
    <xf numFmtId="168" fontId="0" fillId="0" borderId="13" xfId="1" applyNumberFormat="1" applyFont="1" applyBorder="1" applyProtection="1">
      <protection locked="0"/>
    </xf>
    <xf numFmtId="168" fontId="0" fillId="0" borderId="17" xfId="1" applyNumberFormat="1" applyFont="1" applyBorder="1" applyProtection="1">
      <protection locked="0"/>
    </xf>
    <xf numFmtId="168" fontId="0" fillId="0" borderId="18" xfId="1" applyNumberFormat="1" applyFont="1" applyBorder="1" applyProtection="1">
      <protection locked="0"/>
    </xf>
    <xf numFmtId="168" fontId="0" fillId="2" borderId="0" xfId="1" applyNumberFormat="1" applyFont="1" applyFill="1" applyProtection="1">
      <protection hidden="1"/>
    </xf>
    <xf numFmtId="168" fontId="0" fillId="2" borderId="6" xfId="1" applyNumberFormat="1" applyFont="1" applyFill="1" applyBorder="1" applyProtection="1">
      <protection hidden="1"/>
    </xf>
    <xf numFmtId="168" fontId="0" fillId="2" borderId="17" xfId="1" applyNumberFormat="1" applyFont="1" applyFill="1" applyBorder="1" applyProtection="1">
      <protection hidden="1"/>
    </xf>
    <xf numFmtId="168" fontId="0" fillId="2" borderId="18" xfId="1" applyNumberFormat="1" applyFont="1" applyFill="1" applyBorder="1" applyProtection="1">
      <protection hidden="1"/>
    </xf>
    <xf numFmtId="168" fontId="0" fillId="0" borderId="3" xfId="1" applyNumberFormat="1" applyFont="1" applyBorder="1" applyProtection="1">
      <protection locked="0"/>
    </xf>
    <xf numFmtId="168" fontId="0" fillId="0" borderId="0" xfId="1" applyNumberFormat="1" applyFont="1" applyProtection="1">
      <protection locked="0"/>
    </xf>
    <xf numFmtId="168" fontId="0" fillId="0" borderId="6" xfId="1" applyNumberFormat="1" applyFont="1" applyBorder="1" applyProtection="1">
      <protection locked="0"/>
    </xf>
    <xf numFmtId="168" fontId="0" fillId="0" borderId="0" xfId="1" applyNumberFormat="1" applyFont="1" applyAlignment="1">
      <alignment horizontal="center" vertical="center" wrapText="1"/>
    </xf>
    <xf numFmtId="14" fontId="0" fillId="0" borderId="13" xfId="0" applyNumberFormat="1" applyBorder="1" applyAlignment="1" applyProtection="1">
      <alignment horizontal="center"/>
      <protection locked="0"/>
    </xf>
    <xf numFmtId="168" fontId="0" fillId="0" borderId="0" xfId="1" applyNumberFormat="1" applyFont="1" applyAlignment="1">
      <alignment horizontal="center"/>
    </xf>
    <xf numFmtId="9" fontId="0" fillId="0" borderId="0" xfId="7" applyFont="1" applyAlignment="1">
      <alignment horizontal="center"/>
    </xf>
    <xf numFmtId="165" fontId="0" fillId="0" borderId="0" xfId="1" applyFont="1" applyAlignment="1">
      <alignment horizontal="center" vertical="center"/>
    </xf>
    <xf numFmtId="165" fontId="0" fillId="0" borderId="0" xfId="1" applyFont="1" applyAlignment="1">
      <alignment horizontal="center"/>
    </xf>
    <xf numFmtId="0" fontId="2" fillId="3" borderId="6" xfId="0" applyFont="1" applyFill="1" applyBorder="1" applyAlignment="1" applyProtection="1">
      <alignment horizontal="center"/>
    </xf>
    <xf numFmtId="0" fontId="0" fillId="3" borderId="0" xfId="0" applyFill="1" applyAlignment="1" applyProtection="1">
      <alignment horizontal="left"/>
      <protection hidden="1"/>
    </xf>
    <xf numFmtId="21" fontId="0" fillId="0" borderId="0" xfId="0" applyNumberFormat="1" applyAlignment="1">
      <alignment horizont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0" fillId="0" borderId="34" xfId="0" applyBorder="1" applyAlignment="1" applyProtection="1">
      <alignment wrapText="1"/>
      <protection locked="0"/>
    </xf>
    <xf numFmtId="14" fontId="0" fillId="0" borderId="17" xfId="0" applyNumberFormat="1" applyBorder="1" applyAlignment="1" applyProtection="1">
      <alignment horizontal="center"/>
      <protection locked="0"/>
    </xf>
    <xf numFmtId="165" fontId="0" fillId="0" borderId="0" xfId="0" applyNumberFormat="1"/>
    <xf numFmtId="0" fontId="2" fillId="3" borderId="6" xfId="0" applyNumberFormat="1" applyFont="1" applyFill="1" applyBorder="1" applyAlignment="1" applyProtection="1">
      <alignment horizontal="center"/>
      <protection hidden="1"/>
    </xf>
    <xf numFmtId="0" fontId="0" fillId="3" borderId="10" xfId="0" applyFill="1" applyBorder="1" applyAlignment="1" applyProtection="1">
      <alignment horizontal="left"/>
      <protection hidden="1"/>
    </xf>
    <xf numFmtId="0" fontId="0" fillId="3" borderId="7" xfId="0" applyFill="1" applyBorder="1" applyAlignment="1" applyProtection="1">
      <alignment horizontal="center" vertical="center"/>
      <protection hidden="1"/>
    </xf>
    <xf numFmtId="0" fontId="0" fillId="3" borderId="7" xfId="0" applyFill="1" applyBorder="1" applyAlignment="1" applyProtection="1">
      <alignment horizontal="center" vertical="center" wrapText="1"/>
      <protection hidden="1"/>
    </xf>
    <xf numFmtId="0" fontId="0" fillId="3" borderId="11" xfId="0" applyFill="1" applyBorder="1" applyAlignment="1" applyProtection="1">
      <alignment vertical="center" wrapText="1"/>
      <protection hidden="1"/>
    </xf>
    <xf numFmtId="0" fontId="0" fillId="3" borderId="8" xfId="0" applyFill="1" applyBorder="1" applyAlignment="1" applyProtection="1">
      <alignment horizontal="center" vertical="center"/>
      <protection hidden="1"/>
    </xf>
    <xf numFmtId="0" fontId="0" fillId="3" borderId="8" xfId="0" applyFill="1" applyBorder="1" applyAlignment="1" applyProtection="1">
      <alignment horizontal="center" vertical="center" wrapText="1"/>
      <protection hidden="1"/>
    </xf>
    <xf numFmtId="0" fontId="0" fillId="3" borderId="9" xfId="0" applyFill="1" applyBorder="1" applyAlignment="1" applyProtection="1">
      <alignment horizontal="center" vertical="center" wrapText="1"/>
      <protection hidden="1"/>
    </xf>
    <xf numFmtId="0" fontId="0" fillId="3" borderId="9" xfId="0" applyFill="1" applyBorder="1" applyAlignment="1" applyProtection="1">
      <alignment horizontal="center" vertical="center"/>
      <protection hidden="1"/>
    </xf>
    <xf numFmtId="0" fontId="0" fillId="0" borderId="0" xfId="0" applyProtection="1">
      <protection hidden="1"/>
    </xf>
    <xf numFmtId="0" fontId="0" fillId="0" borderId="0" xfId="0" applyAlignment="1" applyProtection="1">
      <alignment horizontal="center"/>
      <protection hidden="1"/>
    </xf>
    <xf numFmtId="0" fontId="2" fillId="0" borderId="1" xfId="0" applyFont="1" applyBorder="1" applyAlignment="1" applyProtection="1">
      <alignment horizontal="center" vertical="center" wrapText="1"/>
      <protection hidden="1"/>
    </xf>
    <xf numFmtId="0" fontId="0" fillId="0" borderId="48" xfId="0" applyBorder="1" applyAlignment="1">
      <alignment horizontal="center"/>
    </xf>
    <xf numFmtId="0" fontId="0" fillId="0" borderId="49" xfId="0" applyBorder="1" applyAlignment="1" applyProtection="1">
      <alignment horizontal="center"/>
      <protection hidden="1"/>
    </xf>
    <xf numFmtId="14" fontId="0" fillId="0" borderId="49" xfId="0" applyNumberFormat="1" applyBorder="1" applyAlignment="1" applyProtection="1">
      <alignment horizontal="center"/>
      <protection hidden="1"/>
    </xf>
    <xf numFmtId="169" fontId="0" fillId="0" borderId="49" xfId="0" applyNumberFormat="1" applyBorder="1" applyAlignment="1" applyProtection="1">
      <alignment horizontal="center"/>
      <protection hidden="1"/>
    </xf>
    <xf numFmtId="165" fontId="0" fillId="0" borderId="49" xfId="1" applyFont="1" applyBorder="1" applyAlignment="1" applyProtection="1">
      <alignment horizontal="center"/>
      <protection hidden="1"/>
    </xf>
    <xf numFmtId="0" fontId="0" fillId="0" borderId="0" xfId="0" applyAlignment="1" applyProtection="1">
      <alignment horizontal="right"/>
      <protection hidden="1"/>
    </xf>
    <xf numFmtId="0" fontId="13" fillId="0" borderId="0" xfId="0" applyFont="1" applyAlignment="1" applyProtection="1">
      <alignment horizontal="right"/>
      <protection hidden="1"/>
    </xf>
    <xf numFmtId="0" fontId="0" fillId="0" borderId="0" xfId="0" applyAlignment="1" applyProtection="1">
      <alignment horizontal="left"/>
      <protection hidden="1"/>
    </xf>
    <xf numFmtId="0" fontId="3" fillId="0" borderId="0" xfId="2" applyAlignment="1" applyProtection="1">
      <alignment horizontal="left" wrapText="1"/>
      <protection hidden="1"/>
    </xf>
    <xf numFmtId="0" fontId="0" fillId="0" borderId="0" xfId="0" applyAlignment="1" applyProtection="1">
      <alignment horizontal="left" wrapText="1"/>
      <protection hidden="1"/>
    </xf>
    <xf numFmtId="0" fontId="0" fillId="0" borderId="0" xfId="0" applyAlignment="1" applyProtection="1">
      <alignment horizontal="center" wrapText="1"/>
      <protection hidden="1"/>
    </xf>
    <xf numFmtId="0" fontId="0" fillId="0" borderId="0" xfId="0" applyAlignment="1" applyProtection="1">
      <protection hidden="1"/>
    </xf>
    <xf numFmtId="0" fontId="0" fillId="0" borderId="0" xfId="0" applyAlignment="1" applyProtection="1">
      <alignment wrapText="1"/>
      <protection hidden="1"/>
    </xf>
    <xf numFmtId="0" fontId="0" fillId="0" borderId="0" xfId="0" applyAlignment="1" applyProtection="1">
      <alignment horizontal="left" vertical="top" wrapText="1"/>
      <protection hidden="1"/>
    </xf>
    <xf numFmtId="10" fontId="0" fillId="0" borderId="0" xfId="7" applyNumberFormat="1" applyFont="1" applyAlignment="1">
      <alignment horizontal="center"/>
    </xf>
    <xf numFmtId="0" fontId="0" fillId="0" borderId="0" xfId="0" applyAlignment="1" applyProtection="1">
      <alignment horizontal="left" wrapText="1"/>
      <protection hidden="1"/>
    </xf>
    <xf numFmtId="0" fontId="0" fillId="0" borderId="9" xfId="0" applyBorder="1" applyAlignment="1" applyProtection="1">
      <protection locked="0"/>
    </xf>
    <xf numFmtId="0" fontId="0" fillId="0" borderId="50" xfId="0" applyBorder="1" applyProtection="1">
      <protection locked="0"/>
    </xf>
    <xf numFmtId="0" fontId="0" fillId="0" borderId="51" xfId="0" applyBorder="1" applyAlignment="1" applyProtection="1">
      <protection locked="0"/>
    </xf>
    <xf numFmtId="168" fontId="0" fillId="0" borderId="14" xfId="1" applyNumberFormat="1" applyFont="1" applyBorder="1" applyProtection="1">
      <protection locked="0"/>
    </xf>
    <xf numFmtId="168" fontId="0" fillId="0" borderId="10" xfId="1" applyNumberFormat="1" applyFont="1" applyBorder="1" applyProtection="1">
      <protection locked="0"/>
    </xf>
    <xf numFmtId="0" fontId="0" fillId="3" borderId="3" xfId="0" applyFill="1" applyBorder="1" applyAlignment="1" applyProtection="1">
      <alignment horizontal="center" vertical="center"/>
      <protection hidden="1"/>
    </xf>
    <xf numFmtId="168" fontId="0" fillId="0" borderId="19" xfId="1" applyNumberFormat="1" applyFont="1" applyBorder="1" applyProtection="1">
      <protection locked="0"/>
    </xf>
    <xf numFmtId="168" fontId="0" fillId="0" borderId="32" xfId="1" applyNumberFormat="1" applyFont="1" applyBorder="1" applyProtection="1">
      <protection locked="0"/>
    </xf>
    <xf numFmtId="168" fontId="0" fillId="0" borderId="33" xfId="1" applyNumberFormat="1" applyFont="1" applyBorder="1" applyProtection="1">
      <protection locked="0"/>
    </xf>
    <xf numFmtId="168" fontId="0" fillId="0" borderId="34" xfId="1" applyNumberFormat="1" applyFont="1" applyBorder="1" applyProtection="1">
      <protection locked="0"/>
    </xf>
    <xf numFmtId="0" fontId="0" fillId="0" borderId="36" xfId="0" applyBorder="1" applyAlignment="1" applyProtection="1">
      <protection locked="0"/>
    </xf>
    <xf numFmtId="0" fontId="0" fillId="0" borderId="0" xfId="0" applyAlignment="1" applyProtection="1">
      <alignment horizontal="left" wrapText="1"/>
      <protection hidden="1"/>
    </xf>
    <xf numFmtId="0" fontId="0" fillId="0" borderId="0" xfId="0" applyAlignment="1" applyProtection="1">
      <alignment horizontal="left" vertical="center" wrapText="1"/>
      <protection hidden="1"/>
    </xf>
    <xf numFmtId="0" fontId="0" fillId="0" borderId="0" xfId="0" applyAlignment="1" applyProtection="1">
      <alignment horizontal="left" wrapText="1"/>
      <protection hidden="1"/>
    </xf>
    <xf numFmtId="0" fontId="0" fillId="0" borderId="0" xfId="0" applyAlignment="1">
      <alignment horizontal="left" wrapText="1"/>
    </xf>
    <xf numFmtId="0" fontId="0" fillId="0" borderId="0" xfId="0" applyAlignment="1" applyProtection="1">
      <alignment horizontal="left" vertical="top" wrapText="1"/>
      <protection hidden="1"/>
    </xf>
    <xf numFmtId="0" fontId="0" fillId="2" borderId="7" xfId="0" applyFill="1" applyBorder="1" applyAlignment="1">
      <alignment horizontal="left"/>
    </xf>
    <xf numFmtId="0" fontId="0" fillId="2" borderId="9" xfId="0" applyFill="1" applyBorder="1" applyAlignment="1">
      <alignment horizontal="left"/>
    </xf>
    <xf numFmtId="0" fontId="7" fillId="2" borderId="7" xfId="0" applyFont="1" applyFill="1" applyBorder="1" applyAlignment="1">
      <alignment horizontal="left"/>
    </xf>
    <xf numFmtId="0" fontId="7" fillId="2" borderId="9" xfId="0" applyFont="1" applyFill="1" applyBorder="1" applyAlignment="1">
      <alignment horizontal="left"/>
    </xf>
    <xf numFmtId="0" fontId="0" fillId="0" borderId="8" xfId="0" applyBorder="1" applyAlignment="1" applyProtection="1">
      <alignment horizontal="center"/>
      <protection locked="0"/>
    </xf>
    <xf numFmtId="0" fontId="0" fillId="0" borderId="9" xfId="0" applyBorder="1" applyAlignment="1" applyProtection="1">
      <alignment horizontal="center"/>
      <protection locked="0"/>
    </xf>
    <xf numFmtId="0" fontId="0" fillId="3" borderId="0" xfId="0" applyFill="1" applyAlignment="1" applyProtection="1">
      <alignment horizontal="left"/>
      <protection hidden="1"/>
    </xf>
    <xf numFmtId="0" fontId="7" fillId="2" borderId="11" xfId="0" applyFont="1" applyFill="1" applyBorder="1" applyAlignment="1" applyProtection="1">
      <alignment horizontal="center"/>
      <protection hidden="1"/>
    </xf>
    <xf numFmtId="0" fontId="7" fillId="2" borderId="23" xfId="0" applyFont="1" applyFill="1" applyBorder="1" applyAlignment="1" applyProtection="1">
      <alignment horizontal="center"/>
      <protection hidden="1"/>
    </xf>
    <xf numFmtId="0" fontId="7" fillId="2" borderId="12" xfId="0" applyFont="1" applyFill="1" applyBorder="1" applyAlignment="1" applyProtection="1">
      <alignment horizontal="center"/>
      <protection hidden="1"/>
    </xf>
    <xf numFmtId="0" fontId="2" fillId="3" borderId="6" xfId="0" applyFont="1" applyFill="1" applyBorder="1" applyAlignment="1" applyProtection="1">
      <alignment horizontal="center"/>
    </xf>
    <xf numFmtId="0" fontId="0" fillId="0" borderId="7" xfId="0" applyBorder="1" applyAlignment="1" applyProtection="1">
      <alignment horizontal="center"/>
      <protection locked="0"/>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7" fillId="3" borderId="11" xfId="0" applyFont="1" applyFill="1" applyBorder="1" applyAlignment="1" applyProtection="1">
      <alignment horizontal="center"/>
      <protection hidden="1"/>
    </xf>
    <xf numFmtId="0" fontId="7" fillId="3" borderId="12" xfId="0" applyFont="1" applyFill="1" applyBorder="1" applyAlignment="1" applyProtection="1">
      <alignment horizontal="center"/>
      <protection hidden="1"/>
    </xf>
    <xf numFmtId="166" fontId="0" fillId="2" borderId="11" xfId="0" quotePrefix="1" applyNumberFormat="1" applyFill="1" applyBorder="1" applyAlignment="1" applyProtection="1">
      <alignment horizontal="center"/>
      <protection hidden="1"/>
    </xf>
    <xf numFmtId="166" fontId="0" fillId="2" borderId="12" xfId="0" quotePrefix="1" applyNumberFormat="1" applyFill="1" applyBorder="1" applyAlignment="1" applyProtection="1">
      <alignment horizontal="center"/>
      <protection hidden="1"/>
    </xf>
    <xf numFmtId="10" fontId="0" fillId="2" borderId="11" xfId="0" quotePrefix="1" applyNumberFormat="1" applyFill="1" applyBorder="1" applyAlignment="1" applyProtection="1">
      <alignment horizontal="center"/>
      <protection hidden="1"/>
    </xf>
    <xf numFmtId="10" fontId="0" fillId="2" borderId="12" xfId="0" quotePrefix="1" applyNumberFormat="1" applyFill="1" applyBorder="1" applyAlignment="1" applyProtection="1">
      <alignment horizontal="center"/>
      <protection hidden="1"/>
    </xf>
    <xf numFmtId="0" fontId="0" fillId="2" borderId="11" xfId="0" applyFill="1" applyBorder="1" applyAlignment="1" applyProtection="1">
      <alignment horizontal="center"/>
      <protection hidden="1"/>
    </xf>
    <xf numFmtId="0" fontId="0" fillId="2" borderId="12" xfId="0" applyFill="1" applyBorder="1" applyAlignment="1" applyProtection="1">
      <alignment horizontal="center"/>
      <protection hidden="1"/>
    </xf>
    <xf numFmtId="0" fontId="7" fillId="2" borderId="20" xfId="0" applyFont="1" applyFill="1" applyBorder="1" applyAlignment="1" applyProtection="1">
      <alignment horizontal="center"/>
      <protection hidden="1"/>
    </xf>
    <xf numFmtId="0" fontId="7" fillId="2" borderId="24" xfId="0" applyFont="1" applyFill="1" applyBorder="1" applyAlignment="1" applyProtection="1">
      <alignment horizontal="center"/>
      <protection hidden="1"/>
    </xf>
    <xf numFmtId="166" fontId="0" fillId="2" borderId="7" xfId="0" applyNumberFormat="1" applyFill="1" applyBorder="1" applyAlignment="1" applyProtection="1">
      <alignment horizontal="center"/>
      <protection hidden="1"/>
    </xf>
    <xf numFmtId="166" fontId="0" fillId="2" borderId="9" xfId="0" applyNumberFormat="1" applyFill="1" applyBorder="1" applyAlignment="1" applyProtection="1">
      <alignment horizontal="center"/>
      <protection hidden="1"/>
    </xf>
    <xf numFmtId="0" fontId="0" fillId="0" borderId="2" xfId="0" applyBorder="1" applyAlignment="1" applyProtection="1">
      <alignment horizontal="center"/>
      <protection locked="0"/>
    </xf>
    <xf numFmtId="0" fontId="0" fillId="0" borderId="27" xfId="0" applyBorder="1" applyAlignment="1" applyProtection="1">
      <alignment horizontal="center"/>
      <protection locked="0"/>
    </xf>
    <xf numFmtId="0" fontId="2" fillId="3" borderId="0" xfId="0" applyFont="1" applyFill="1" applyBorder="1" applyAlignment="1" applyProtection="1">
      <alignment horizontal="center" vertical="center"/>
    </xf>
    <xf numFmtId="0" fontId="0" fillId="3" borderId="0" xfId="0" applyFill="1" applyAlignment="1" applyProtection="1">
      <alignment horizontal="left"/>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166" fontId="7" fillId="2" borderId="7" xfId="0" applyNumberFormat="1" applyFont="1" applyFill="1" applyBorder="1" applyAlignment="1" applyProtection="1">
      <alignment horizontal="center"/>
      <protection hidden="1"/>
    </xf>
    <xf numFmtId="166" fontId="7" fillId="2" borderId="9" xfId="0" applyNumberFormat="1" applyFont="1" applyFill="1" applyBorder="1" applyAlignment="1" applyProtection="1">
      <alignment horizontal="center"/>
      <protection hidden="1"/>
    </xf>
    <xf numFmtId="166" fontId="8" fillId="4" borderId="0" xfId="0" applyNumberFormat="1" applyFont="1" applyFill="1" applyAlignment="1">
      <alignment horizontal="center" vertical="center"/>
    </xf>
    <xf numFmtId="167" fontId="0" fillId="2" borderId="7" xfId="0" applyNumberFormat="1" applyFill="1" applyBorder="1" applyAlignment="1" applyProtection="1">
      <alignment horizontal="right"/>
      <protection hidden="1"/>
    </xf>
    <xf numFmtId="167" fontId="0" fillId="2" borderId="9" xfId="0" applyNumberFormat="1" applyFill="1" applyBorder="1" applyAlignment="1" applyProtection="1">
      <alignment horizontal="right"/>
      <protection hidden="1"/>
    </xf>
    <xf numFmtId="0" fontId="0" fillId="2" borderId="7" xfId="0" applyFill="1" applyBorder="1" applyAlignment="1" applyProtection="1">
      <alignment horizontal="left"/>
    </xf>
    <xf numFmtId="0" fontId="0" fillId="2" borderId="9" xfId="0" applyFill="1" applyBorder="1" applyAlignment="1" applyProtection="1">
      <alignment horizontal="left"/>
    </xf>
    <xf numFmtId="10" fontId="0" fillId="0" borderId="11" xfId="0" quotePrefix="1" applyNumberFormat="1" applyFill="1" applyBorder="1" applyAlignment="1" applyProtection="1">
      <alignment horizontal="center"/>
      <protection locked="0"/>
    </xf>
    <xf numFmtId="10" fontId="0" fillId="0" borderId="12" xfId="0" quotePrefix="1" applyNumberFormat="1" applyFill="1" applyBorder="1" applyAlignment="1" applyProtection="1">
      <alignment horizontal="center"/>
      <protection locked="0"/>
    </xf>
    <xf numFmtId="0" fontId="7" fillId="2" borderId="7" xfId="0" applyFont="1" applyFill="1" applyBorder="1" applyAlignment="1" applyProtection="1">
      <alignment horizontal="left"/>
    </xf>
    <xf numFmtId="0" fontId="7" fillId="2" borderId="9" xfId="0" applyFont="1" applyFill="1" applyBorder="1" applyAlignment="1" applyProtection="1">
      <alignment horizontal="left"/>
    </xf>
    <xf numFmtId="0" fontId="2" fillId="3" borderId="6" xfId="0" applyNumberFormat="1" applyFont="1" applyFill="1" applyBorder="1" applyAlignment="1" applyProtection="1">
      <alignment horizontal="center"/>
      <protection hidden="1"/>
    </xf>
    <xf numFmtId="0" fontId="12" fillId="0" borderId="8" xfId="0" applyFont="1" applyBorder="1" applyAlignment="1" applyProtection="1">
      <alignment horizontal="center"/>
      <protection locked="0"/>
    </xf>
    <xf numFmtId="0" fontId="12" fillId="0" borderId="9" xfId="0" applyFont="1" applyBorder="1" applyAlignment="1" applyProtection="1">
      <alignment horizontal="center"/>
      <protection locked="0"/>
    </xf>
    <xf numFmtId="0" fontId="3" fillId="0" borderId="8" xfId="2" applyBorder="1" applyAlignment="1" applyProtection="1">
      <alignment horizontal="center"/>
      <protection locked="0"/>
    </xf>
    <xf numFmtId="0" fontId="0" fillId="3" borderId="10" xfId="0" applyFill="1" applyBorder="1" applyAlignment="1" applyProtection="1">
      <alignment horizontal="left"/>
      <protection hidden="1"/>
    </xf>
    <xf numFmtId="0" fontId="0" fillId="3" borderId="0" xfId="0" applyFill="1" applyBorder="1" applyAlignment="1" applyProtection="1">
      <alignment horizontal="left"/>
      <protection hidden="1"/>
    </xf>
    <xf numFmtId="0" fontId="0" fillId="0" borderId="40" xfId="0" applyBorder="1" applyAlignment="1" applyProtection="1">
      <alignment horizontal="left" vertical="top" wrapText="1"/>
      <protection locked="0"/>
    </xf>
    <xf numFmtId="0" fontId="0" fillId="0" borderId="41" xfId="0" applyBorder="1" applyAlignment="1" applyProtection="1">
      <alignment horizontal="left" vertical="top" wrapText="1"/>
      <protection locked="0"/>
    </xf>
    <xf numFmtId="0" fontId="0" fillId="0" borderId="42" xfId="0" applyBorder="1" applyAlignment="1" applyProtection="1">
      <alignment horizontal="left" vertical="top" wrapText="1"/>
      <protection locked="0"/>
    </xf>
    <xf numFmtId="0" fontId="0" fillId="0" borderId="43" xfId="0" applyBorder="1" applyAlignment="1" applyProtection="1">
      <alignment horizontal="left" vertical="top" wrapText="1"/>
      <protection locked="0"/>
    </xf>
    <xf numFmtId="0" fontId="0" fillId="0" borderId="44" xfId="0" applyBorder="1" applyAlignment="1" applyProtection="1">
      <alignment horizontal="left" vertical="top" wrapText="1"/>
      <protection locked="0"/>
    </xf>
    <xf numFmtId="0" fontId="0" fillId="0" borderId="45" xfId="0" applyBorder="1" applyAlignment="1" applyProtection="1">
      <alignment horizontal="left" vertical="top" wrapText="1"/>
      <protection locked="0"/>
    </xf>
    <xf numFmtId="0" fontId="0" fillId="3" borderId="46" xfId="0" applyFill="1" applyBorder="1" applyAlignment="1" applyProtection="1">
      <alignment horizontal="center" vertical="center"/>
      <protection hidden="1"/>
    </xf>
    <xf numFmtId="0" fontId="0" fillId="3" borderId="47" xfId="0" applyFill="1" applyBorder="1" applyAlignment="1" applyProtection="1">
      <alignment horizontal="center" vertical="center"/>
      <protection hidden="1"/>
    </xf>
    <xf numFmtId="0" fontId="0" fillId="3" borderId="3" xfId="0" applyFill="1" applyBorder="1" applyAlignment="1" applyProtection="1">
      <alignment horizontal="left"/>
      <protection hidden="1"/>
    </xf>
    <xf numFmtId="0" fontId="0" fillId="0" borderId="0" xfId="0" applyAlignment="1" applyProtection="1">
      <alignment horizontal="center"/>
      <protection locked="0"/>
    </xf>
    <xf numFmtId="0" fontId="0" fillId="0" borderId="35" xfId="0" applyBorder="1" applyAlignment="1" applyProtection="1">
      <alignment horizontal="center"/>
      <protection locked="0"/>
    </xf>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2" fillId="3" borderId="6" xfId="0" applyFont="1" applyFill="1" applyBorder="1" applyAlignment="1" applyProtection="1">
      <alignment horizontal="center" vertical="center"/>
    </xf>
    <xf numFmtId="0" fontId="2" fillId="3" borderId="0" xfId="0" applyFont="1" applyFill="1" applyBorder="1" applyAlignment="1" applyProtection="1">
      <alignment horizontal="center" vertical="center" wrapText="1"/>
    </xf>
    <xf numFmtId="0" fontId="2" fillId="3" borderId="6" xfId="0" applyFont="1" applyFill="1" applyBorder="1" applyAlignment="1" applyProtection="1">
      <alignment horizontal="center" vertical="center" wrapText="1"/>
    </xf>
    <xf numFmtId="0" fontId="0" fillId="0" borderId="38" xfId="0" applyBorder="1" applyAlignment="1" applyProtection="1">
      <alignment horizontal="center"/>
      <protection locked="0"/>
    </xf>
    <xf numFmtId="0" fontId="0" fillId="0" borderId="39" xfId="0" applyBorder="1" applyAlignment="1" applyProtection="1">
      <alignment horizontal="center"/>
      <protection locked="0"/>
    </xf>
    <xf numFmtId="0" fontId="2" fillId="0" borderId="1" xfId="0" applyFont="1" applyBorder="1" applyAlignment="1">
      <alignment horizontal="center"/>
    </xf>
    <xf numFmtId="0" fontId="2" fillId="0" borderId="30" xfId="0" applyFont="1" applyBorder="1" applyAlignment="1">
      <alignment horizontal="center" wrapText="1"/>
    </xf>
    <xf numFmtId="0" fontId="2" fillId="0" borderId="0" xfId="0" applyFont="1" applyBorder="1" applyAlignment="1">
      <alignment horizontal="center" wrapText="1"/>
    </xf>
    <xf numFmtId="0" fontId="2" fillId="0" borderId="0" xfId="0" applyFont="1" applyAlignment="1">
      <alignment horizontal="center"/>
    </xf>
  </cellXfs>
  <cellStyles count="8">
    <cellStyle name="Hipervínculo" xfId="2" builtinId="8"/>
    <cellStyle name="Hipervínculo 2" xfId="4" xr:uid="{466C666E-1ADA-4F40-81A8-8D071D0D718E}"/>
    <cellStyle name="Moneda" xfId="1" builtinId="4"/>
    <cellStyle name="Moneda [0]" xfId="6" builtinId="7"/>
    <cellStyle name="Moneda [0] 2" xfId="5" xr:uid="{2F817A21-0CC7-4285-8C14-6EEDCB3B6B26}"/>
    <cellStyle name="Normal" xfId="0" builtinId="0"/>
    <cellStyle name="Normal 2" xfId="3" xr:uid="{5B3545D6-5803-44D4-8D77-37A7010C26B8}"/>
    <cellStyle name="Porcentaje" xfId="7" builtinId="5"/>
  </cellStyles>
  <dxfs count="2">
    <dxf>
      <fill>
        <patternFill>
          <bgColor theme="2" tint="-9.9948118533890809E-2"/>
        </patternFill>
      </fill>
    </dxf>
    <dxf>
      <fill>
        <patternFill>
          <bgColor theme="2" tint="-9.9948118533890809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Factura!A1"/></Relationships>
</file>

<file path=xl/drawings/_rels/drawing2.xml.rels><?xml version="1.0" encoding="UTF-8" standalone="yes"?>
<Relationships xmlns="http://schemas.openxmlformats.org/package/2006/relationships"><Relationship Id="rId1" Type="http://schemas.openxmlformats.org/officeDocument/2006/relationships/hyperlink" Target="#'Explicaci&#243;n del excel'!A1"/></Relationships>
</file>

<file path=xl/drawings/_rels/drawing3.xml.rels><?xml version="1.0" encoding="UTF-8" standalone="yes"?>
<Relationships xmlns="http://schemas.openxmlformats.org/package/2006/relationships"><Relationship Id="rId1" Type="http://schemas.openxmlformats.org/officeDocument/2006/relationships/hyperlink" Target="#'Explicaci&#243;n del excel'!A1"/></Relationships>
</file>

<file path=xl/drawings/drawing1.xml><?xml version="1.0" encoding="utf-8"?>
<xdr:wsDr xmlns:xdr="http://schemas.openxmlformats.org/drawingml/2006/spreadsheetDrawing" xmlns:a="http://schemas.openxmlformats.org/drawingml/2006/main">
  <xdr:twoCellAnchor>
    <xdr:from>
      <xdr:col>1</xdr:col>
      <xdr:colOff>6350</xdr:colOff>
      <xdr:row>90</xdr:row>
      <xdr:rowOff>0</xdr:rowOff>
    </xdr:from>
    <xdr:to>
      <xdr:col>3</xdr:col>
      <xdr:colOff>812800</xdr:colOff>
      <xdr:row>91</xdr:row>
      <xdr:rowOff>177800</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15687729-8A76-46B7-A653-F611404FB643}"/>
            </a:ext>
          </a:extLst>
        </xdr:cNvPr>
        <xdr:cNvSpPr/>
      </xdr:nvSpPr>
      <xdr:spPr>
        <a:xfrm>
          <a:off x="311150" y="11728450"/>
          <a:ext cx="1866900" cy="361950"/>
        </a:xfrm>
        <a:prstGeom prst="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t>SIGUIENTE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222250</xdr:colOff>
      <xdr:row>0</xdr:row>
      <xdr:rowOff>127000</xdr:rowOff>
    </xdr:from>
    <xdr:to>
      <xdr:col>2</xdr:col>
      <xdr:colOff>285750</xdr:colOff>
      <xdr:row>4</xdr:row>
      <xdr:rowOff>174625</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493EC58F-FCB4-40E9-8DA2-A348CFE1E63A}"/>
            </a:ext>
          </a:extLst>
        </xdr:cNvPr>
        <xdr:cNvSpPr/>
      </xdr:nvSpPr>
      <xdr:spPr>
        <a:xfrm>
          <a:off x="984250" y="317500"/>
          <a:ext cx="825500" cy="8096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222250</xdr:colOff>
      <xdr:row>0</xdr:row>
      <xdr:rowOff>127000</xdr:rowOff>
    </xdr:from>
    <xdr:to>
      <xdr:col>2</xdr:col>
      <xdr:colOff>285750</xdr:colOff>
      <xdr:row>3</xdr:row>
      <xdr:rowOff>0</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68E11031-BF72-4666-8BB2-6E9445553F43}"/>
            </a:ext>
          </a:extLst>
        </xdr:cNvPr>
        <xdr:cNvSpPr/>
      </xdr:nvSpPr>
      <xdr:spPr>
        <a:xfrm>
          <a:off x="984250" y="127000"/>
          <a:ext cx="825500" cy="784225"/>
        </a:xfrm>
        <a:prstGeom prst="leftArrow">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1791494</xdr:colOff>
      <xdr:row>86</xdr:row>
      <xdr:rowOff>152398</xdr:rowOff>
    </xdr:from>
    <xdr:to>
      <xdr:col>12</xdr:col>
      <xdr:colOff>815181</xdr:colOff>
      <xdr:row>89</xdr:row>
      <xdr:rowOff>152399</xdr:rowOff>
    </xdr:to>
    <xdr:sp macro="[0]!imprimir_datos_basicos_y_productos" textlink="">
      <xdr:nvSpPr>
        <xdr:cNvPr id="4" name="Rectángulo 3">
          <a:extLst>
            <a:ext uri="{FF2B5EF4-FFF2-40B4-BE49-F238E27FC236}">
              <a16:creationId xmlns:a16="http://schemas.microsoft.com/office/drawing/2014/main" id="{608E7D14-A1E6-43CA-8F1A-70EE929290E8}"/>
            </a:ext>
          </a:extLst>
        </xdr:cNvPr>
        <xdr:cNvSpPr/>
      </xdr:nvSpPr>
      <xdr:spPr>
        <a:xfrm>
          <a:off x="15338161" y="11145836"/>
          <a:ext cx="2939520" cy="595313"/>
        </a:xfrm>
        <a:prstGeom prst="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t>GUARDAR Y AGREGAR OTRA FACTURA</a:t>
          </a:r>
        </a:p>
      </xdr:txBody>
    </xdr:sp>
    <xdr:clientData/>
  </xdr:twoCellAnchor>
  <xdr:twoCellAnchor>
    <xdr:from>
      <xdr:col>2</xdr:col>
      <xdr:colOff>661459</xdr:colOff>
      <xdr:row>86</xdr:row>
      <xdr:rowOff>119062</xdr:rowOff>
    </xdr:from>
    <xdr:to>
      <xdr:col>4</xdr:col>
      <xdr:colOff>637645</xdr:colOff>
      <xdr:row>89</xdr:row>
      <xdr:rowOff>119063</xdr:rowOff>
    </xdr:to>
    <xdr:sp macro="[0]!borrar" textlink="">
      <xdr:nvSpPr>
        <xdr:cNvPr id="5" name="Rectángulo 4">
          <a:extLst>
            <a:ext uri="{FF2B5EF4-FFF2-40B4-BE49-F238E27FC236}">
              <a16:creationId xmlns:a16="http://schemas.microsoft.com/office/drawing/2014/main" id="{928516D3-5371-4ECC-A966-D219A2F8D08F}"/>
            </a:ext>
          </a:extLst>
        </xdr:cNvPr>
        <xdr:cNvSpPr/>
      </xdr:nvSpPr>
      <xdr:spPr>
        <a:xfrm>
          <a:off x="2196042" y="11112500"/>
          <a:ext cx="2939520" cy="595313"/>
        </a:xfrm>
        <a:prstGeom prst="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t>BORRAR DATOS</a:t>
          </a:r>
        </a:p>
      </xdr:txBody>
    </xdr:sp>
    <xdr:clientData/>
  </xdr:twoCellAnchor>
  <xdr:twoCellAnchor>
    <xdr:from>
      <xdr:col>16</xdr:col>
      <xdr:colOff>762000</xdr:colOff>
      <xdr:row>87</xdr:row>
      <xdr:rowOff>0</xdr:rowOff>
    </xdr:from>
    <xdr:to>
      <xdr:col>19</xdr:col>
      <xdr:colOff>412750</xdr:colOff>
      <xdr:row>89</xdr:row>
      <xdr:rowOff>158750</xdr:rowOff>
    </xdr:to>
    <xdr:sp macro="[0]!guardar_y_finalizar" textlink="">
      <xdr:nvSpPr>
        <xdr:cNvPr id="6" name="Rectángulo 5">
          <a:extLst>
            <a:ext uri="{FF2B5EF4-FFF2-40B4-BE49-F238E27FC236}">
              <a16:creationId xmlns:a16="http://schemas.microsoft.com/office/drawing/2014/main" id="{DA85B90A-4272-4345-94F9-BD55F8092717}"/>
            </a:ext>
          </a:extLst>
        </xdr:cNvPr>
        <xdr:cNvSpPr/>
      </xdr:nvSpPr>
      <xdr:spPr>
        <a:xfrm>
          <a:off x="26463625" y="17478375"/>
          <a:ext cx="2698750" cy="539750"/>
        </a:xfrm>
        <a:prstGeom prst="rect">
          <a:avLst/>
        </a:prstGeom>
        <a:solidFill>
          <a:srgbClr val="002060"/>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t>GUARDAR Y FINALIZAR</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E53BA-5FE5-4D94-8D6B-AA85C8F0B3A9}">
  <sheetPr codeName="Hoja2"/>
  <dimension ref="A2:O89"/>
  <sheetViews>
    <sheetView showGridLines="0" view="pageLayout" topLeftCell="A47" zoomScaleNormal="100" workbookViewId="0">
      <selection activeCell="B63" sqref="B63:I65"/>
    </sheetView>
  </sheetViews>
  <sheetFormatPr baseColWidth="10" defaultColWidth="11.42578125" defaultRowHeight="15" x14ac:dyDescent="0.25"/>
  <cols>
    <col min="1" max="1" width="4.28515625" style="142" customWidth="1"/>
    <col min="2" max="2" width="10.42578125" style="142" customWidth="1"/>
    <col min="3" max="3" width="4.42578125" style="142" customWidth="1"/>
    <col min="4" max="8" width="11.42578125" style="142"/>
    <col min="9" max="9" width="13.7109375" style="142" customWidth="1"/>
  </cols>
  <sheetData>
    <row r="2" spans="2:15" ht="15" customHeight="1" x14ac:dyDescent="0.25">
      <c r="B2" s="176" t="s">
        <v>1862</v>
      </c>
      <c r="C2" s="176"/>
      <c r="D2" s="176"/>
      <c r="E2" s="176"/>
      <c r="F2" s="176"/>
      <c r="G2" s="176"/>
      <c r="H2" s="176"/>
      <c r="I2" s="176"/>
      <c r="J2" s="91"/>
      <c r="K2" s="91"/>
      <c r="L2" s="91"/>
      <c r="M2" s="91"/>
      <c r="N2" s="91"/>
      <c r="O2" s="91"/>
    </row>
    <row r="3" spans="2:15" ht="15" customHeight="1" x14ac:dyDescent="0.25">
      <c r="B3" s="176"/>
      <c r="C3" s="176"/>
      <c r="D3" s="176"/>
      <c r="E3" s="176"/>
      <c r="F3" s="176"/>
      <c r="G3" s="176"/>
      <c r="H3" s="176"/>
      <c r="I3" s="176"/>
      <c r="J3" s="91"/>
      <c r="K3" s="91"/>
      <c r="L3" s="91"/>
      <c r="M3" s="91"/>
      <c r="N3" s="91"/>
      <c r="O3" s="91"/>
    </row>
    <row r="4" spans="2:15" ht="15" customHeight="1" x14ac:dyDescent="0.25">
      <c r="B4" s="176"/>
      <c r="C4" s="176"/>
      <c r="D4" s="176"/>
      <c r="E4" s="176"/>
      <c r="F4" s="176"/>
      <c r="G4" s="176"/>
      <c r="H4" s="176"/>
      <c r="I4" s="176"/>
      <c r="J4" s="91"/>
      <c r="K4" s="91"/>
      <c r="L4" s="91"/>
      <c r="M4" s="91"/>
      <c r="N4" s="91"/>
      <c r="O4" s="91"/>
    </row>
    <row r="5" spans="2:15" ht="15" customHeight="1" x14ac:dyDescent="0.25">
      <c r="B5" s="176"/>
      <c r="C5" s="176"/>
      <c r="D5" s="176"/>
      <c r="E5" s="176"/>
      <c r="F5" s="176"/>
      <c r="G5" s="176"/>
      <c r="H5" s="176"/>
      <c r="I5" s="176"/>
      <c r="J5" s="91"/>
      <c r="K5" s="91"/>
      <c r="L5" s="91"/>
      <c r="M5" s="91"/>
      <c r="N5" s="91"/>
      <c r="O5" s="91"/>
    </row>
    <row r="6" spans="2:15" ht="15" customHeight="1" x14ac:dyDescent="0.25">
      <c r="B6" s="176"/>
      <c r="C6" s="176"/>
      <c r="D6" s="176"/>
      <c r="E6" s="176"/>
      <c r="F6" s="176"/>
      <c r="G6" s="176"/>
      <c r="H6" s="176"/>
      <c r="I6" s="176"/>
      <c r="J6" s="91"/>
      <c r="K6" s="91"/>
      <c r="L6" s="91"/>
      <c r="M6" s="91"/>
      <c r="N6" s="91"/>
      <c r="O6" s="91"/>
    </row>
    <row r="7" spans="2:15" ht="15" customHeight="1" x14ac:dyDescent="0.25">
      <c r="B7" s="176"/>
      <c r="C7" s="176"/>
      <c r="D7" s="176"/>
      <c r="E7" s="176"/>
      <c r="F7" s="176"/>
      <c r="G7" s="176"/>
      <c r="H7" s="176"/>
      <c r="I7" s="176"/>
      <c r="J7" s="91"/>
      <c r="K7" s="91"/>
      <c r="L7" s="91"/>
      <c r="M7" s="91"/>
      <c r="N7" s="91"/>
      <c r="O7" s="91"/>
    </row>
    <row r="8" spans="2:15" ht="15" customHeight="1" x14ac:dyDescent="0.25">
      <c r="B8" s="176"/>
      <c r="C8" s="176"/>
      <c r="D8" s="176"/>
      <c r="E8" s="176"/>
      <c r="F8" s="176"/>
      <c r="G8" s="176"/>
      <c r="H8" s="176"/>
      <c r="I8" s="176"/>
      <c r="J8" s="91"/>
      <c r="K8" s="91"/>
      <c r="L8" s="91"/>
      <c r="M8" s="91"/>
      <c r="N8" s="91"/>
      <c r="O8" s="91"/>
    </row>
    <row r="9" spans="2:15" ht="15" customHeight="1" x14ac:dyDescent="0.25">
      <c r="B9" s="176"/>
      <c r="C9" s="176"/>
      <c r="D9" s="176"/>
      <c r="E9" s="176"/>
      <c r="F9" s="176"/>
      <c r="G9" s="176"/>
      <c r="H9" s="176"/>
      <c r="I9" s="176"/>
      <c r="J9" s="91"/>
      <c r="K9" s="91"/>
      <c r="L9" s="91"/>
      <c r="M9" s="91"/>
      <c r="N9" s="91"/>
      <c r="O9" s="91"/>
    </row>
    <row r="10" spans="2:15" ht="15" customHeight="1" x14ac:dyDescent="0.25">
      <c r="B10" s="176"/>
      <c r="C10" s="176"/>
      <c r="D10" s="176"/>
      <c r="E10" s="176"/>
      <c r="F10" s="176"/>
      <c r="G10" s="176"/>
      <c r="H10" s="176"/>
      <c r="I10" s="176"/>
      <c r="J10" s="91"/>
      <c r="K10" s="91"/>
      <c r="L10" s="91"/>
      <c r="M10" s="91"/>
      <c r="N10" s="91"/>
      <c r="O10" s="91"/>
    </row>
    <row r="11" spans="2:15" x14ac:dyDescent="0.25">
      <c r="B11" s="176"/>
      <c r="C11" s="176"/>
      <c r="D11" s="176"/>
      <c r="E11" s="176"/>
      <c r="F11" s="176"/>
      <c r="G11" s="176"/>
      <c r="H11" s="176"/>
      <c r="I11" s="176"/>
      <c r="J11" s="91"/>
      <c r="K11" s="91"/>
      <c r="L11" s="91"/>
      <c r="M11" s="91"/>
      <c r="N11" s="91"/>
      <c r="O11" s="91"/>
    </row>
    <row r="12" spans="2:15" x14ac:dyDescent="0.25">
      <c r="B12" s="176"/>
      <c r="C12" s="176"/>
      <c r="D12" s="176"/>
      <c r="E12" s="176"/>
      <c r="F12" s="176"/>
      <c r="G12" s="176"/>
      <c r="H12" s="176"/>
      <c r="I12" s="176"/>
      <c r="J12" s="92"/>
      <c r="K12" s="91"/>
      <c r="L12" s="91"/>
      <c r="M12" s="91"/>
      <c r="N12" s="91"/>
      <c r="O12" s="91"/>
    </row>
    <row r="13" spans="2:15" ht="30" x14ac:dyDescent="0.25">
      <c r="B13" s="152" t="s">
        <v>1579</v>
      </c>
      <c r="C13" s="153" t="s">
        <v>1535</v>
      </c>
      <c r="D13" s="152" t="s">
        <v>1536</v>
      </c>
      <c r="E13" s="154"/>
      <c r="F13" s="154"/>
      <c r="G13" s="154"/>
      <c r="H13" s="154"/>
      <c r="I13" s="155"/>
      <c r="J13" s="92"/>
      <c r="K13" s="91"/>
      <c r="L13" s="91"/>
      <c r="M13" s="91"/>
      <c r="N13" s="91"/>
      <c r="O13" s="91"/>
    </row>
    <row r="14" spans="2:15" x14ac:dyDescent="0.25">
      <c r="B14" s="152"/>
      <c r="C14" s="153"/>
      <c r="D14" s="152"/>
      <c r="E14" s="154"/>
      <c r="F14" s="154"/>
      <c r="G14" s="154"/>
      <c r="H14" s="154"/>
      <c r="I14" s="155"/>
      <c r="J14" s="92"/>
      <c r="K14" s="91"/>
      <c r="L14" s="91"/>
      <c r="M14" s="91"/>
      <c r="N14" s="91"/>
      <c r="O14" s="91"/>
    </row>
    <row r="15" spans="2:15" x14ac:dyDescent="0.25">
      <c r="B15" s="152" t="s">
        <v>1582</v>
      </c>
      <c r="C15" s="155"/>
      <c r="D15" s="155"/>
      <c r="E15" s="155"/>
      <c r="F15" s="155"/>
      <c r="G15" s="155"/>
      <c r="H15" s="155"/>
      <c r="I15" s="155"/>
      <c r="J15" s="92"/>
      <c r="K15" s="91"/>
      <c r="L15" s="91"/>
      <c r="M15" s="91"/>
      <c r="N15" s="91"/>
      <c r="O15" s="91"/>
    </row>
    <row r="16" spans="2:15" x14ac:dyDescent="0.25">
      <c r="B16" s="152"/>
      <c r="C16" s="155"/>
      <c r="D16" s="155"/>
      <c r="E16" s="155"/>
      <c r="F16" s="155"/>
      <c r="G16" s="155"/>
      <c r="H16" s="155"/>
      <c r="I16" s="155"/>
      <c r="J16" s="92"/>
      <c r="K16" s="91"/>
      <c r="L16" s="91"/>
      <c r="M16" s="91"/>
      <c r="N16" s="91"/>
      <c r="O16" s="91"/>
    </row>
    <row r="17" spans="2:9" x14ac:dyDescent="0.25">
      <c r="B17" s="152" t="s">
        <v>1583</v>
      </c>
    </row>
    <row r="18" spans="2:9" x14ac:dyDescent="0.25">
      <c r="B18" s="152"/>
    </row>
    <row r="19" spans="2:9" ht="21" customHeight="1" x14ac:dyDescent="0.25">
      <c r="B19" s="174" t="s">
        <v>1584</v>
      </c>
      <c r="C19" s="174"/>
      <c r="D19" s="174"/>
      <c r="E19" s="174"/>
      <c r="F19" s="174"/>
      <c r="G19" s="174"/>
      <c r="H19" s="174"/>
      <c r="I19" s="174"/>
    </row>
    <row r="20" spans="2:9" x14ac:dyDescent="0.25">
      <c r="B20" s="174"/>
      <c r="C20" s="174"/>
      <c r="D20" s="174"/>
      <c r="E20" s="174"/>
      <c r="F20" s="174"/>
      <c r="G20" s="174"/>
      <c r="H20" s="174"/>
      <c r="I20" s="174"/>
    </row>
    <row r="21" spans="2:9" x14ac:dyDescent="0.25">
      <c r="B21" s="154"/>
      <c r="C21" s="154"/>
      <c r="D21" s="154"/>
      <c r="E21" s="154"/>
      <c r="F21" s="154"/>
      <c r="G21" s="154"/>
      <c r="H21" s="154"/>
      <c r="I21" s="154"/>
    </row>
    <row r="22" spans="2:9" x14ac:dyDescent="0.25">
      <c r="B22" s="174" t="s">
        <v>1845</v>
      </c>
      <c r="C22" s="174"/>
      <c r="D22" s="174"/>
      <c r="E22" s="174"/>
      <c r="F22" s="174"/>
      <c r="G22" s="174"/>
      <c r="H22" s="174"/>
      <c r="I22" s="174"/>
    </row>
    <row r="23" spans="2:9" x14ac:dyDescent="0.25">
      <c r="B23" s="174"/>
      <c r="C23" s="174"/>
      <c r="D23" s="174"/>
      <c r="E23" s="174"/>
      <c r="F23" s="174"/>
      <c r="G23" s="174"/>
      <c r="H23" s="174"/>
      <c r="I23" s="174"/>
    </row>
    <row r="24" spans="2:9" x14ac:dyDescent="0.25">
      <c r="B24" s="174"/>
      <c r="C24" s="174"/>
      <c r="D24" s="174"/>
      <c r="E24" s="174"/>
      <c r="F24" s="174"/>
      <c r="G24" s="174"/>
      <c r="H24" s="174"/>
      <c r="I24" s="174"/>
    </row>
    <row r="25" spans="2:9" x14ac:dyDescent="0.25">
      <c r="B25" s="160"/>
      <c r="C25" s="160"/>
      <c r="D25" s="160"/>
      <c r="E25" s="160"/>
      <c r="F25" s="160"/>
      <c r="G25" s="160"/>
      <c r="H25" s="160"/>
      <c r="I25" s="160"/>
    </row>
    <row r="26" spans="2:9" x14ac:dyDescent="0.25">
      <c r="B26" s="176" t="s">
        <v>1864</v>
      </c>
      <c r="C26" s="176"/>
      <c r="D26" s="176"/>
      <c r="E26" s="176"/>
      <c r="F26" s="176"/>
      <c r="G26" s="176"/>
      <c r="H26" s="176"/>
      <c r="I26" s="176"/>
    </row>
    <row r="27" spans="2:9" x14ac:dyDescent="0.25">
      <c r="B27" s="176"/>
      <c r="C27" s="176"/>
      <c r="D27" s="176"/>
      <c r="E27" s="176"/>
      <c r="F27" s="176"/>
      <c r="G27" s="176"/>
      <c r="H27" s="176"/>
      <c r="I27" s="176"/>
    </row>
    <row r="28" spans="2:9" x14ac:dyDescent="0.25">
      <c r="B28" s="160"/>
      <c r="C28" s="160"/>
      <c r="D28" s="160"/>
      <c r="E28" s="160"/>
      <c r="F28" s="160"/>
      <c r="G28" s="160"/>
      <c r="H28" s="160"/>
      <c r="I28" s="160"/>
    </row>
    <row r="29" spans="2:9" x14ac:dyDescent="0.25">
      <c r="B29" s="173" t="s">
        <v>1865</v>
      </c>
      <c r="C29" s="173"/>
      <c r="D29" s="173"/>
      <c r="E29" s="173"/>
      <c r="F29" s="173"/>
      <c r="G29" s="173"/>
      <c r="H29" s="173"/>
      <c r="I29" s="173"/>
    </row>
    <row r="30" spans="2:9" x14ac:dyDescent="0.25">
      <c r="B30" s="173"/>
      <c r="C30" s="173"/>
      <c r="D30" s="173"/>
      <c r="E30" s="173"/>
      <c r="F30" s="173"/>
      <c r="G30" s="173"/>
      <c r="H30" s="173"/>
      <c r="I30" s="173"/>
    </row>
    <row r="31" spans="2:9" x14ac:dyDescent="0.25">
      <c r="B31" s="154"/>
      <c r="C31" s="154"/>
      <c r="D31" s="154"/>
      <c r="E31" s="154"/>
      <c r="F31" s="154"/>
      <c r="G31" s="154"/>
      <c r="H31" s="154"/>
      <c r="I31" s="154"/>
    </row>
    <row r="32" spans="2:9" x14ac:dyDescent="0.25">
      <c r="B32" s="174" t="s">
        <v>2941</v>
      </c>
      <c r="C32" s="174"/>
      <c r="D32" s="174"/>
      <c r="E32" s="174"/>
      <c r="F32" s="174"/>
      <c r="G32" s="174"/>
      <c r="H32" s="174"/>
      <c r="I32" s="174"/>
    </row>
    <row r="33" spans="2:9" x14ac:dyDescent="0.25">
      <c r="B33" s="174"/>
      <c r="C33" s="174"/>
      <c r="D33" s="174"/>
      <c r="E33" s="174"/>
      <c r="F33" s="174"/>
      <c r="G33" s="174"/>
      <c r="H33" s="174"/>
      <c r="I33" s="174"/>
    </row>
    <row r="34" spans="2:9" x14ac:dyDescent="0.25">
      <c r="B34" s="172"/>
      <c r="C34" s="172"/>
      <c r="D34" s="172"/>
      <c r="E34" s="172"/>
      <c r="F34" s="172"/>
      <c r="G34" s="172"/>
      <c r="H34" s="172"/>
      <c r="I34" s="172"/>
    </row>
    <row r="35" spans="2:9" x14ac:dyDescent="0.25">
      <c r="B35" s="175" t="s">
        <v>2942</v>
      </c>
      <c r="C35" s="175"/>
      <c r="D35" s="175"/>
      <c r="E35" s="175"/>
      <c r="F35" s="175"/>
      <c r="G35" s="175"/>
      <c r="H35" s="175"/>
      <c r="I35" s="175"/>
    </row>
    <row r="36" spans="2:9" x14ac:dyDescent="0.25">
      <c r="B36" s="175"/>
      <c r="C36" s="175"/>
      <c r="D36" s="175"/>
      <c r="E36" s="175"/>
      <c r="F36" s="175"/>
      <c r="G36" s="175"/>
      <c r="H36" s="175"/>
      <c r="I36" s="175"/>
    </row>
    <row r="37" spans="2:9" x14ac:dyDescent="0.25">
      <c r="B37" s="154"/>
      <c r="C37" s="154"/>
      <c r="D37" s="154"/>
      <c r="E37" s="154"/>
      <c r="F37" s="154"/>
      <c r="G37" s="154"/>
      <c r="H37" s="154"/>
      <c r="I37" s="154"/>
    </row>
    <row r="38" spans="2:9" x14ac:dyDescent="0.25">
      <c r="B38" s="174" t="s">
        <v>2943</v>
      </c>
      <c r="C38" s="174"/>
      <c r="D38" s="174"/>
      <c r="E38" s="174"/>
      <c r="F38" s="174"/>
      <c r="G38" s="174"/>
      <c r="H38" s="174"/>
      <c r="I38" s="174"/>
    </row>
    <row r="39" spans="2:9" x14ac:dyDescent="0.25">
      <c r="B39" s="174"/>
      <c r="C39" s="174"/>
      <c r="D39" s="174"/>
      <c r="E39" s="174"/>
      <c r="F39" s="174"/>
      <c r="G39" s="174"/>
      <c r="H39" s="174"/>
      <c r="I39" s="174"/>
    </row>
    <row r="40" spans="2:9" x14ac:dyDescent="0.25">
      <c r="B40" s="154"/>
      <c r="C40" s="154"/>
      <c r="D40" s="154"/>
      <c r="E40" s="154"/>
      <c r="F40" s="154"/>
      <c r="G40" s="154"/>
      <c r="H40" s="154"/>
      <c r="I40" s="154"/>
    </row>
    <row r="41" spans="2:9" ht="14.45" customHeight="1" x14ac:dyDescent="0.25">
      <c r="B41" s="174" t="s">
        <v>2944</v>
      </c>
      <c r="C41" s="174"/>
      <c r="D41" s="174"/>
      <c r="E41" s="174"/>
      <c r="F41" s="174"/>
      <c r="G41" s="174"/>
      <c r="H41" s="174"/>
      <c r="I41" s="174"/>
    </row>
    <row r="42" spans="2:9" x14ac:dyDescent="0.25">
      <c r="B42" s="174"/>
      <c r="C42" s="174"/>
      <c r="D42" s="174"/>
      <c r="E42" s="174"/>
      <c r="F42" s="174"/>
      <c r="G42" s="174"/>
      <c r="H42" s="174"/>
      <c r="I42" s="174"/>
    </row>
    <row r="43" spans="2:9" x14ac:dyDescent="0.25">
      <c r="B43" s="154"/>
      <c r="C43" s="154"/>
      <c r="D43" s="154"/>
      <c r="E43" s="154"/>
      <c r="F43" s="154"/>
      <c r="G43" s="154"/>
      <c r="H43" s="154"/>
      <c r="I43" s="154"/>
    </row>
    <row r="44" spans="2:9" x14ac:dyDescent="0.25">
      <c r="B44" s="174" t="s">
        <v>2945</v>
      </c>
      <c r="C44" s="174"/>
      <c r="D44" s="174"/>
      <c r="E44" s="174"/>
      <c r="F44" s="174"/>
      <c r="G44" s="174"/>
      <c r="H44" s="174"/>
      <c r="I44" s="174"/>
    </row>
    <row r="45" spans="2:9" x14ac:dyDescent="0.25">
      <c r="B45" s="174"/>
      <c r="C45" s="174"/>
      <c r="D45" s="174"/>
      <c r="E45" s="174"/>
      <c r="F45" s="174"/>
      <c r="G45" s="174"/>
      <c r="H45" s="174"/>
      <c r="I45" s="174"/>
    </row>
    <row r="46" spans="2:9" x14ac:dyDescent="0.25">
      <c r="B46" s="154"/>
      <c r="C46" s="154"/>
      <c r="D46" s="154"/>
      <c r="E46" s="154"/>
      <c r="F46" s="154"/>
      <c r="G46" s="154"/>
      <c r="H46" s="154"/>
      <c r="I46" s="154"/>
    </row>
    <row r="47" spans="2:9" x14ac:dyDescent="0.25">
      <c r="B47" s="174" t="s">
        <v>2946</v>
      </c>
      <c r="C47" s="174"/>
      <c r="D47" s="174"/>
      <c r="E47" s="174"/>
      <c r="F47" s="174"/>
      <c r="G47" s="174"/>
      <c r="H47" s="174"/>
      <c r="I47" s="174"/>
    </row>
    <row r="48" spans="2:9" x14ac:dyDescent="0.25">
      <c r="B48" s="174"/>
      <c r="C48" s="174"/>
      <c r="D48" s="174"/>
      <c r="E48" s="174"/>
      <c r="F48" s="174"/>
      <c r="G48" s="174"/>
      <c r="H48" s="174"/>
      <c r="I48" s="174"/>
    </row>
    <row r="49" spans="2:9" x14ac:dyDescent="0.25">
      <c r="B49" s="154"/>
      <c r="C49" s="154"/>
      <c r="D49" s="154"/>
      <c r="E49" s="154"/>
      <c r="F49" s="154"/>
      <c r="G49" s="154"/>
      <c r="H49" s="154"/>
      <c r="I49" s="154"/>
    </row>
    <row r="50" spans="2:9" x14ac:dyDescent="0.25">
      <c r="B50" s="174" t="s">
        <v>2947</v>
      </c>
      <c r="C50" s="174"/>
      <c r="D50" s="174"/>
      <c r="E50" s="174"/>
      <c r="F50" s="174"/>
      <c r="G50" s="174"/>
      <c r="H50" s="174"/>
      <c r="I50" s="174"/>
    </row>
    <row r="51" spans="2:9" x14ac:dyDescent="0.25">
      <c r="B51" s="174"/>
      <c r="C51" s="174"/>
      <c r="D51" s="174"/>
      <c r="E51" s="174"/>
      <c r="F51" s="174"/>
      <c r="G51" s="174"/>
      <c r="H51" s="174"/>
      <c r="I51" s="174"/>
    </row>
    <row r="52" spans="2:9" x14ac:dyDescent="0.25">
      <c r="B52" s="154"/>
      <c r="C52" s="154"/>
      <c r="D52" s="154"/>
      <c r="E52" s="154"/>
      <c r="F52" s="154"/>
      <c r="G52" s="154"/>
      <c r="H52" s="154"/>
      <c r="I52" s="154"/>
    </row>
    <row r="53" spans="2:9" x14ac:dyDescent="0.25">
      <c r="B53" s="174" t="s">
        <v>2948</v>
      </c>
      <c r="C53" s="174"/>
      <c r="D53" s="174"/>
      <c r="E53" s="174"/>
      <c r="F53" s="174"/>
      <c r="G53" s="174"/>
      <c r="H53" s="174"/>
      <c r="I53" s="174"/>
    </row>
    <row r="54" spans="2:9" x14ac:dyDescent="0.25">
      <c r="B54" s="174"/>
      <c r="C54" s="174"/>
      <c r="D54" s="174"/>
      <c r="E54" s="174"/>
      <c r="F54" s="174"/>
      <c r="G54" s="174"/>
      <c r="H54" s="174"/>
      <c r="I54" s="174"/>
    </row>
    <row r="55" spans="2:9" x14ac:dyDescent="0.25">
      <c r="B55" s="174"/>
      <c r="C55" s="174"/>
      <c r="D55" s="174"/>
      <c r="E55" s="174"/>
      <c r="F55" s="174"/>
      <c r="G55" s="174"/>
      <c r="H55" s="174"/>
      <c r="I55" s="174"/>
    </row>
    <row r="56" spans="2:9" x14ac:dyDescent="0.25">
      <c r="B56" s="154"/>
      <c r="C56" s="154"/>
      <c r="D56" s="154"/>
      <c r="E56" s="154"/>
      <c r="F56" s="154"/>
      <c r="G56" s="154"/>
      <c r="H56" s="154"/>
      <c r="I56" s="154"/>
    </row>
    <row r="57" spans="2:9" ht="14.45" customHeight="1" x14ac:dyDescent="0.25">
      <c r="B57" s="156" t="s">
        <v>2949</v>
      </c>
      <c r="C57" s="157"/>
      <c r="D57" s="157"/>
      <c r="E57" s="157"/>
      <c r="F57" s="157"/>
      <c r="G57" s="157"/>
      <c r="H57" s="157"/>
      <c r="I57" s="157"/>
    </row>
    <row r="58" spans="2:9" ht="14.45" customHeight="1" x14ac:dyDescent="0.25">
      <c r="B58" s="156"/>
      <c r="C58" s="157"/>
      <c r="D58" s="157"/>
      <c r="E58" s="157"/>
      <c r="F58" s="157"/>
      <c r="G58" s="157"/>
      <c r="H58" s="157"/>
      <c r="I58" s="157"/>
    </row>
    <row r="59" spans="2:9" x14ac:dyDescent="0.25">
      <c r="B59" s="156" t="s">
        <v>2950</v>
      </c>
      <c r="C59" s="157"/>
      <c r="D59" s="157"/>
      <c r="E59" s="157"/>
      <c r="F59" s="157"/>
      <c r="G59" s="157"/>
      <c r="H59" s="157"/>
      <c r="I59" s="157"/>
    </row>
    <row r="60" spans="2:9" x14ac:dyDescent="0.25">
      <c r="B60" s="156"/>
      <c r="C60" s="157"/>
      <c r="D60" s="157"/>
      <c r="E60" s="157"/>
      <c r="F60" s="157"/>
      <c r="G60" s="157"/>
      <c r="H60" s="157"/>
      <c r="I60" s="157"/>
    </row>
    <row r="61" spans="2:9" x14ac:dyDescent="0.25">
      <c r="B61" s="156" t="s">
        <v>2951</v>
      </c>
    </row>
    <row r="62" spans="2:9" x14ac:dyDescent="0.25">
      <c r="B62" s="156"/>
    </row>
    <row r="63" spans="2:9" ht="14.45" customHeight="1" x14ac:dyDescent="0.25">
      <c r="B63" s="176" t="s">
        <v>2952</v>
      </c>
      <c r="C63" s="176"/>
      <c r="D63" s="176"/>
      <c r="E63" s="176"/>
      <c r="F63" s="176"/>
      <c r="G63" s="176"/>
      <c r="H63" s="176"/>
      <c r="I63" s="176"/>
    </row>
    <row r="64" spans="2:9" x14ac:dyDescent="0.25">
      <c r="B64" s="176"/>
      <c r="C64" s="176"/>
      <c r="D64" s="176"/>
      <c r="E64" s="176"/>
      <c r="F64" s="176"/>
      <c r="G64" s="176"/>
      <c r="H64" s="176"/>
      <c r="I64" s="176"/>
    </row>
    <row r="65" spans="2:9" x14ac:dyDescent="0.25">
      <c r="B65" s="176"/>
      <c r="C65" s="176"/>
      <c r="D65" s="176"/>
      <c r="E65" s="176"/>
      <c r="F65" s="176"/>
      <c r="G65" s="176"/>
      <c r="H65" s="176"/>
      <c r="I65" s="176"/>
    </row>
    <row r="66" spans="2:9" x14ac:dyDescent="0.25">
      <c r="B66" s="158"/>
      <c r="C66" s="158"/>
      <c r="D66" s="158"/>
      <c r="E66" s="158"/>
      <c r="F66" s="158"/>
      <c r="G66" s="158"/>
      <c r="H66" s="158"/>
      <c r="I66" s="158"/>
    </row>
    <row r="67" spans="2:9" x14ac:dyDescent="0.25">
      <c r="B67" s="174" t="s">
        <v>2953</v>
      </c>
      <c r="C67" s="174"/>
      <c r="D67" s="174"/>
      <c r="E67" s="174"/>
      <c r="F67" s="174"/>
      <c r="G67" s="174"/>
      <c r="H67" s="174"/>
      <c r="I67" s="174"/>
    </row>
    <row r="68" spans="2:9" x14ac:dyDescent="0.25">
      <c r="B68" s="174"/>
      <c r="C68" s="174"/>
      <c r="D68" s="174"/>
      <c r="E68" s="174"/>
      <c r="F68" s="174"/>
      <c r="G68" s="174"/>
      <c r="H68" s="174"/>
      <c r="I68" s="174"/>
    </row>
    <row r="69" spans="2:9" x14ac:dyDescent="0.25">
      <c r="B69" s="174"/>
      <c r="C69" s="174"/>
      <c r="D69" s="174"/>
      <c r="E69" s="174"/>
      <c r="F69" s="174"/>
      <c r="G69" s="174"/>
      <c r="H69" s="174"/>
      <c r="I69" s="174"/>
    </row>
    <row r="70" spans="2:9" x14ac:dyDescent="0.25">
      <c r="B70" s="172"/>
      <c r="C70" s="172"/>
      <c r="D70" s="172"/>
      <c r="E70" s="172"/>
      <c r="F70" s="172"/>
      <c r="G70" s="172"/>
      <c r="H70" s="172"/>
      <c r="I70" s="172"/>
    </row>
    <row r="71" spans="2:9" x14ac:dyDescent="0.25">
      <c r="B71" s="175" t="s">
        <v>2954</v>
      </c>
      <c r="C71" s="175"/>
      <c r="D71" s="175"/>
      <c r="E71" s="175"/>
      <c r="F71" s="175"/>
      <c r="G71" s="175"/>
      <c r="H71" s="175"/>
      <c r="I71" s="175"/>
    </row>
    <row r="72" spans="2:9" x14ac:dyDescent="0.25">
      <c r="B72" s="175"/>
      <c r="C72" s="175"/>
      <c r="D72" s="175"/>
      <c r="E72" s="175"/>
      <c r="F72" s="175"/>
      <c r="G72" s="175"/>
      <c r="H72" s="175"/>
      <c r="I72" s="175"/>
    </row>
    <row r="73" spans="2:9" x14ac:dyDescent="0.25">
      <c r="B73" s="175"/>
      <c r="C73" s="175"/>
      <c r="D73" s="175"/>
      <c r="E73" s="175"/>
      <c r="F73" s="175"/>
      <c r="G73" s="175"/>
      <c r="H73" s="175"/>
      <c r="I73" s="175"/>
    </row>
    <row r="74" spans="2:9" x14ac:dyDescent="0.25">
      <c r="B74" s="154"/>
      <c r="C74" s="154"/>
      <c r="D74" s="154"/>
      <c r="E74" s="154"/>
      <c r="F74" s="154"/>
      <c r="G74" s="154"/>
      <c r="H74" s="154"/>
      <c r="I74" s="154"/>
    </row>
    <row r="75" spans="2:9" x14ac:dyDescent="0.25">
      <c r="B75" s="174" t="s">
        <v>2955</v>
      </c>
      <c r="C75" s="174"/>
      <c r="D75" s="174"/>
      <c r="E75" s="174"/>
      <c r="F75" s="174"/>
      <c r="G75" s="174"/>
      <c r="H75" s="174"/>
      <c r="I75" s="174"/>
    </row>
    <row r="76" spans="2:9" x14ac:dyDescent="0.25">
      <c r="B76" s="174"/>
      <c r="C76" s="174"/>
      <c r="D76" s="174"/>
      <c r="E76" s="174"/>
      <c r="F76" s="174"/>
      <c r="G76" s="174"/>
      <c r="H76" s="174"/>
      <c r="I76" s="174"/>
    </row>
    <row r="77" spans="2:9" x14ac:dyDescent="0.25">
      <c r="B77" s="156"/>
    </row>
    <row r="78" spans="2:9" x14ac:dyDescent="0.25">
      <c r="B78" s="174" t="s">
        <v>2956</v>
      </c>
      <c r="C78" s="174"/>
      <c r="D78" s="174"/>
      <c r="E78" s="174"/>
      <c r="F78" s="174"/>
      <c r="G78" s="174"/>
      <c r="H78" s="174"/>
      <c r="I78" s="174"/>
    </row>
    <row r="79" spans="2:9" x14ac:dyDescent="0.25">
      <c r="B79" s="174"/>
      <c r="C79" s="174"/>
      <c r="D79" s="174"/>
      <c r="E79" s="174"/>
      <c r="F79" s="174"/>
      <c r="G79" s="174"/>
      <c r="H79" s="174"/>
      <c r="I79" s="174"/>
    </row>
    <row r="80" spans="2:9" x14ac:dyDescent="0.25">
      <c r="B80" s="154"/>
      <c r="C80" s="154"/>
      <c r="D80" s="154"/>
      <c r="E80" s="154"/>
      <c r="F80" s="154"/>
      <c r="G80" s="154"/>
      <c r="H80" s="154"/>
      <c r="I80" s="154"/>
    </row>
    <row r="81" spans="2:9" x14ac:dyDescent="0.25">
      <c r="B81" s="173" t="s">
        <v>2957</v>
      </c>
      <c r="C81" s="173"/>
      <c r="D81" s="173"/>
      <c r="E81" s="173"/>
      <c r="F81" s="173"/>
      <c r="G81" s="173"/>
      <c r="H81" s="173"/>
      <c r="I81" s="173"/>
    </row>
    <row r="83" spans="2:9" x14ac:dyDescent="0.25">
      <c r="B83" s="174" t="s">
        <v>2958</v>
      </c>
      <c r="C83" s="174"/>
      <c r="D83" s="174"/>
      <c r="E83" s="174"/>
      <c r="F83" s="174"/>
      <c r="G83" s="174"/>
      <c r="H83" s="174"/>
      <c r="I83" s="174"/>
    </row>
    <row r="84" spans="2:9" x14ac:dyDescent="0.25">
      <c r="B84" s="174"/>
      <c r="C84" s="174"/>
      <c r="D84" s="174"/>
      <c r="E84" s="174"/>
      <c r="F84" s="174"/>
      <c r="G84" s="174"/>
      <c r="H84" s="174"/>
      <c r="I84" s="174"/>
    </row>
    <row r="85" spans="2:9" x14ac:dyDescent="0.25">
      <c r="B85" s="174"/>
      <c r="C85" s="174"/>
      <c r="D85" s="174"/>
      <c r="E85" s="174"/>
      <c r="F85" s="174"/>
      <c r="G85" s="174"/>
      <c r="H85" s="174"/>
      <c r="I85" s="174"/>
    </row>
    <row r="87" spans="2:9" x14ac:dyDescent="0.25">
      <c r="B87" s="173" t="s">
        <v>1581</v>
      </c>
      <c r="C87" s="173"/>
      <c r="D87" s="173"/>
      <c r="E87" s="173"/>
      <c r="F87" s="173"/>
      <c r="G87" s="173"/>
      <c r="H87" s="173"/>
      <c r="I87" s="173"/>
    </row>
    <row r="88" spans="2:9" x14ac:dyDescent="0.25">
      <c r="B88" s="173"/>
      <c r="C88" s="173"/>
      <c r="D88" s="173"/>
      <c r="E88" s="173"/>
      <c r="F88" s="173"/>
      <c r="G88" s="173"/>
      <c r="H88" s="173"/>
      <c r="I88" s="173"/>
    </row>
    <row r="89" spans="2:9" x14ac:dyDescent="0.25">
      <c r="B89" s="173"/>
      <c r="C89" s="173"/>
      <c r="D89" s="173"/>
      <c r="E89" s="173"/>
      <c r="F89" s="173"/>
      <c r="G89" s="173"/>
      <c r="H89" s="173"/>
      <c r="I89" s="173"/>
    </row>
  </sheetData>
  <mergeCells count="21">
    <mergeCell ref="B26:I27"/>
    <mergeCell ref="B2:I12"/>
    <mergeCell ref="B67:I69"/>
    <mergeCell ref="B75:I76"/>
    <mergeCell ref="B78:I79"/>
    <mergeCell ref="B38:I39"/>
    <mergeCell ref="B41:I42"/>
    <mergeCell ref="B44:I45"/>
    <mergeCell ref="B63:I65"/>
    <mergeCell ref="B19:I20"/>
    <mergeCell ref="B32:I33"/>
    <mergeCell ref="B22:I24"/>
    <mergeCell ref="B29:I30"/>
    <mergeCell ref="B47:I48"/>
    <mergeCell ref="B50:I51"/>
    <mergeCell ref="B53:I55"/>
    <mergeCell ref="B87:I89"/>
    <mergeCell ref="B83:I85"/>
    <mergeCell ref="B81:I81"/>
    <mergeCell ref="B35:I36"/>
    <mergeCell ref="B71:I73"/>
  </mergeCells>
  <hyperlinks>
    <hyperlink ref="C13" location="Factura!D1" display="aquí" xr:uid="{40BF4C95-D697-4B63-AFDA-C63FD9D4B935}"/>
  </hyperlinks>
  <pageMargins left="0.7" right="0.7" top="0.75" bottom="0.75" header="0.3" footer="0.3"/>
  <pageSetup orientation="portrait" r:id="rId1"/>
  <headerFooter>
    <oddHeader xml:space="preserve">&amp;C&amp;"-,Negrita"&amp;16&amp;UEXPLICACIÓN DEL EXCEL </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8369F-EA4C-43F7-90A8-664FF416AB39}">
  <sheetPr codeName="Hoja7"/>
  <dimension ref="A1:XFD60"/>
  <sheetViews>
    <sheetView showGridLines="0" zoomScale="70" zoomScaleNormal="70" workbookViewId="0"/>
  </sheetViews>
  <sheetFormatPr baseColWidth="10" defaultRowHeight="15" x14ac:dyDescent="0.25"/>
  <cols>
    <col min="4" max="4" width="31.42578125" customWidth="1"/>
    <col min="5" max="5" width="13.42578125" customWidth="1"/>
    <col min="6" max="6" width="13.7109375" bestFit="1" customWidth="1"/>
    <col min="8" max="8" width="30.140625" customWidth="1"/>
    <col min="9" max="9" width="17.42578125" customWidth="1"/>
    <col min="10" max="10" width="23" customWidth="1"/>
    <col min="11" max="11" width="21" customWidth="1"/>
    <col min="12" max="12" width="56.140625" customWidth="1"/>
    <col min="13" max="13" width="15" customWidth="1"/>
    <col min="14" max="14" width="25.28515625" customWidth="1"/>
    <col min="15" max="15" width="14.140625" bestFit="1" customWidth="1"/>
    <col min="16" max="16" width="60.140625" bestFit="1" customWidth="1"/>
    <col min="17" max="17" width="21.7109375" customWidth="1"/>
    <col min="16384" max="16384" width="59.85546875" bestFit="1" customWidth="1"/>
  </cols>
  <sheetData>
    <row r="1" spans="1:21 16384:16384" x14ac:dyDescent="0.25">
      <c r="A1" s="9"/>
      <c r="B1" s="40"/>
      <c r="C1" s="40"/>
      <c r="D1" s="40"/>
      <c r="E1" s="40"/>
      <c r="F1" s="40"/>
      <c r="G1" s="40"/>
      <c r="H1" s="40"/>
      <c r="I1" s="40"/>
      <c r="J1" s="40"/>
      <c r="K1" s="40"/>
      <c r="L1" s="40"/>
      <c r="M1" s="40"/>
      <c r="N1" s="40"/>
      <c r="O1" s="40"/>
      <c r="P1" s="40"/>
      <c r="Q1" s="40"/>
      <c r="R1" s="40"/>
      <c r="S1" s="40"/>
      <c r="T1" s="40"/>
      <c r="U1" s="9"/>
      <c r="XFD1" s="28" t="s">
        <v>2</v>
      </c>
    </row>
    <row r="2" spans="1:21 16384:16384" x14ac:dyDescent="0.25">
      <c r="A2" s="10"/>
      <c r="B2" s="41"/>
      <c r="C2" s="41"/>
      <c r="D2" s="41"/>
      <c r="E2" s="41"/>
      <c r="F2" s="41"/>
      <c r="G2" s="41"/>
      <c r="H2" s="41"/>
      <c r="I2" s="41"/>
      <c r="J2" s="41"/>
      <c r="K2" s="41"/>
      <c r="L2" s="41"/>
      <c r="M2" s="41"/>
      <c r="N2" s="41"/>
      <c r="O2" s="41"/>
      <c r="P2" s="41"/>
      <c r="Q2" s="41"/>
      <c r="R2" s="41"/>
      <c r="S2" s="41"/>
      <c r="T2" s="41"/>
      <c r="U2" s="10"/>
      <c r="XFD2" s="2" t="s">
        <v>12</v>
      </c>
    </row>
    <row r="3" spans="1:21 16384:16384" x14ac:dyDescent="0.25">
      <c r="A3" s="10"/>
      <c r="B3" s="41"/>
      <c r="C3" s="41"/>
      <c r="D3" s="41"/>
      <c r="E3" s="41"/>
      <c r="F3" s="41"/>
      <c r="G3" s="41"/>
      <c r="H3" s="41"/>
      <c r="I3" s="41"/>
      <c r="J3" s="41"/>
      <c r="K3" s="41"/>
      <c r="L3" s="41"/>
      <c r="M3" s="41"/>
      <c r="N3" s="41"/>
      <c r="O3" s="41"/>
      <c r="P3" s="41"/>
      <c r="Q3" s="41"/>
      <c r="R3" s="41"/>
      <c r="S3" s="41"/>
      <c r="T3" s="41"/>
      <c r="U3" s="10"/>
      <c r="XFD3" s="2" t="s">
        <v>13</v>
      </c>
    </row>
    <row r="4" spans="1:21 16384:16384" x14ac:dyDescent="0.25">
      <c r="A4" s="10"/>
      <c r="B4" s="41"/>
      <c r="C4" s="41"/>
      <c r="D4" s="93" t="s">
        <v>175</v>
      </c>
      <c r="E4" s="41"/>
      <c r="F4" s="41"/>
      <c r="G4" s="41"/>
      <c r="H4" s="41"/>
      <c r="I4" s="41"/>
      <c r="J4" s="41"/>
      <c r="K4" s="41"/>
      <c r="L4" s="41"/>
      <c r="M4" s="41"/>
      <c r="N4" s="41"/>
      <c r="O4" s="41"/>
      <c r="P4" s="41"/>
      <c r="Q4" s="41"/>
      <c r="R4" s="41"/>
      <c r="S4" s="41"/>
      <c r="T4" s="41"/>
      <c r="U4" s="10"/>
      <c r="XFD4" s="2" t="s">
        <v>14</v>
      </c>
    </row>
    <row r="5" spans="1:21 16384:16384" x14ac:dyDescent="0.25">
      <c r="A5" s="10"/>
      <c r="B5" s="41"/>
      <c r="C5" s="41"/>
      <c r="D5" s="203"/>
      <c r="E5" s="204"/>
      <c r="F5" s="41"/>
      <c r="G5" s="41"/>
      <c r="H5" s="41"/>
      <c r="I5" s="41"/>
      <c r="J5" s="41"/>
      <c r="K5" s="41"/>
      <c r="L5" s="41"/>
      <c r="M5" s="41"/>
      <c r="N5" s="41"/>
      <c r="O5" s="41"/>
      <c r="P5" s="41"/>
      <c r="Q5" s="41"/>
      <c r="R5" s="41"/>
      <c r="S5" s="41"/>
      <c r="T5" s="41"/>
      <c r="U5" s="10"/>
      <c r="XFD5" s="2" t="s">
        <v>15</v>
      </c>
    </row>
    <row r="6" spans="1:21 16384:16384" x14ac:dyDescent="0.25">
      <c r="A6" s="10"/>
      <c r="B6" s="41"/>
      <c r="C6" s="41"/>
      <c r="D6" s="41"/>
      <c r="E6" s="41"/>
      <c r="F6" s="41"/>
      <c r="G6" s="41"/>
      <c r="H6" s="41"/>
      <c r="I6" s="41"/>
      <c r="J6" s="41"/>
      <c r="K6" s="41"/>
      <c r="L6" s="41"/>
      <c r="M6" s="41"/>
      <c r="N6" s="41"/>
      <c r="O6" s="41"/>
      <c r="P6" s="41"/>
      <c r="Q6" s="41"/>
      <c r="R6" s="41"/>
      <c r="S6" s="41"/>
      <c r="T6" s="41"/>
      <c r="U6" s="10"/>
      <c r="XFD6" s="2" t="s">
        <v>16</v>
      </c>
    </row>
    <row r="7" spans="1:21 16384:16384" x14ac:dyDescent="0.25">
      <c r="A7" s="10"/>
      <c r="B7" s="41"/>
      <c r="C7" s="41"/>
      <c r="D7" s="93" t="s">
        <v>102</v>
      </c>
      <c r="E7" s="41"/>
      <c r="F7" s="41"/>
      <c r="G7" s="41"/>
      <c r="H7" s="41"/>
      <c r="I7" s="41"/>
      <c r="J7" s="41"/>
      <c r="K7" s="41"/>
      <c r="L7" s="41"/>
      <c r="M7" s="41"/>
      <c r="N7" s="41"/>
      <c r="O7" s="41"/>
      <c r="P7" s="41"/>
      <c r="Q7" s="41"/>
      <c r="R7" s="41"/>
      <c r="S7" s="41"/>
      <c r="T7" s="41"/>
      <c r="U7" s="10"/>
      <c r="XFD7" s="2" t="s">
        <v>17</v>
      </c>
    </row>
    <row r="8" spans="1:21 16384:16384" x14ac:dyDescent="0.25">
      <c r="A8" s="10"/>
      <c r="B8" s="41"/>
      <c r="C8" s="41"/>
      <c r="D8" s="203" t="s">
        <v>104</v>
      </c>
      <c r="E8" s="204"/>
      <c r="F8" s="41"/>
      <c r="G8" s="41"/>
      <c r="H8" s="41"/>
      <c r="I8" s="41"/>
      <c r="J8" s="41"/>
      <c r="K8" s="41"/>
      <c r="L8" s="41"/>
      <c r="M8" s="41"/>
      <c r="N8" s="41"/>
      <c r="O8" s="41"/>
      <c r="P8" s="41"/>
      <c r="Q8" s="41"/>
      <c r="R8" s="41"/>
      <c r="S8" s="41"/>
      <c r="T8" s="41"/>
      <c r="U8" s="10"/>
      <c r="XFD8" s="2" t="s">
        <v>18</v>
      </c>
    </row>
    <row r="9" spans="1:21 16384:16384" x14ac:dyDescent="0.25">
      <c r="A9" s="10"/>
      <c r="B9" s="7"/>
      <c r="C9" s="7"/>
      <c r="D9" s="7"/>
      <c r="E9" s="7"/>
      <c r="F9" s="7"/>
      <c r="G9" s="7"/>
      <c r="H9" s="7"/>
      <c r="I9" s="7"/>
      <c r="J9" s="7"/>
      <c r="K9" s="7"/>
      <c r="L9" s="7"/>
      <c r="M9" s="7"/>
      <c r="N9" s="7"/>
      <c r="O9" s="7"/>
      <c r="P9" s="7"/>
      <c r="Q9" s="7"/>
      <c r="R9" s="7"/>
      <c r="S9" s="7"/>
      <c r="T9" s="7"/>
      <c r="U9" s="10"/>
      <c r="XFD9" s="2" t="s">
        <v>19</v>
      </c>
    </row>
    <row r="10" spans="1:21 16384:16384" x14ac:dyDescent="0.25">
      <c r="A10" s="10"/>
      <c r="B10" s="7"/>
      <c r="C10" s="7"/>
      <c r="D10" s="187" t="s">
        <v>52</v>
      </c>
      <c r="E10" s="187"/>
      <c r="F10" s="187"/>
      <c r="G10" s="7"/>
      <c r="H10" s="187" t="s">
        <v>53</v>
      </c>
      <c r="I10" s="187"/>
      <c r="J10" s="187"/>
      <c r="K10" s="8"/>
      <c r="L10" s="187" t="s">
        <v>54</v>
      </c>
      <c r="M10" s="187"/>
      <c r="N10" s="187"/>
      <c r="O10" s="8"/>
      <c r="P10" s="205" t="s">
        <v>74</v>
      </c>
      <c r="Q10" s="205"/>
      <c r="R10" s="205"/>
      <c r="S10" s="205"/>
      <c r="T10" s="205"/>
      <c r="U10" s="10"/>
      <c r="XFD10" s="2" t="s">
        <v>20</v>
      </c>
    </row>
    <row r="11" spans="1:21 16384:16384" x14ac:dyDescent="0.25">
      <c r="A11" s="10"/>
      <c r="B11" s="7"/>
      <c r="C11" s="7"/>
      <c r="D11" s="88" t="s">
        <v>166</v>
      </c>
      <c r="E11" s="88" t="s">
        <v>167</v>
      </c>
      <c r="F11" s="88" t="s">
        <v>168</v>
      </c>
      <c r="G11" s="7"/>
      <c r="H11" s="88" t="s">
        <v>169</v>
      </c>
      <c r="I11" s="88" t="s">
        <v>170</v>
      </c>
      <c r="J11" s="88" t="s">
        <v>171</v>
      </c>
      <c r="K11" s="8"/>
      <c r="L11" s="88" t="s">
        <v>166</v>
      </c>
      <c r="M11" s="88" t="s">
        <v>167</v>
      </c>
      <c r="N11" s="88" t="s">
        <v>168</v>
      </c>
      <c r="O11" s="8"/>
      <c r="P11" s="205"/>
      <c r="Q11" s="205"/>
      <c r="R11" s="205"/>
      <c r="S11" s="205"/>
      <c r="T11" s="205"/>
      <c r="U11" s="10"/>
      <c r="XFD11" s="2" t="s">
        <v>21</v>
      </c>
    </row>
    <row r="12" spans="1:21 16384:16384" x14ac:dyDescent="0.25">
      <c r="A12" s="10"/>
      <c r="B12" s="7"/>
      <c r="C12" s="7"/>
      <c r="D12" s="85">
        <v>2</v>
      </c>
      <c r="E12" s="86" t="s">
        <v>78</v>
      </c>
      <c r="F12" s="87">
        <v>1904</v>
      </c>
      <c r="G12" s="6"/>
      <c r="H12" s="43" t="s">
        <v>118</v>
      </c>
      <c r="I12" s="44" t="s">
        <v>123</v>
      </c>
      <c r="J12" s="45" t="s">
        <v>121</v>
      </c>
      <c r="K12" s="7"/>
      <c r="L12" s="43">
        <v>4</v>
      </c>
      <c r="M12" s="44" t="s">
        <v>78</v>
      </c>
      <c r="N12" s="45">
        <v>1917</v>
      </c>
      <c r="O12" s="7"/>
      <c r="P12" s="181">
        <v>120</v>
      </c>
      <c r="Q12" s="181"/>
      <c r="R12" s="181"/>
      <c r="S12" s="181"/>
      <c r="T12" s="182"/>
      <c r="U12" s="10"/>
      <c r="XFD12" s="2" t="s">
        <v>22</v>
      </c>
    </row>
    <row r="13" spans="1:21 16384:16384" x14ac:dyDescent="0.25">
      <c r="A13" s="10"/>
      <c r="B13" s="7"/>
      <c r="C13" s="7"/>
      <c r="D13" s="7"/>
      <c r="E13" s="7"/>
      <c r="F13" s="7"/>
      <c r="G13" s="7"/>
      <c r="H13" s="7"/>
      <c r="I13" s="7"/>
      <c r="J13" s="7"/>
      <c r="K13" s="7"/>
      <c r="L13" s="7"/>
      <c r="M13" s="7"/>
      <c r="N13" s="7"/>
      <c r="O13" s="7"/>
      <c r="P13" s="7"/>
      <c r="Q13" s="7"/>
      <c r="R13" s="7"/>
      <c r="S13" s="7"/>
      <c r="T13" s="7"/>
      <c r="U13" s="10"/>
      <c r="XFD13" s="2" t="s">
        <v>23</v>
      </c>
    </row>
    <row r="14" spans="1:21 16384:16384" x14ac:dyDescent="0.25">
      <c r="A14" s="10"/>
      <c r="B14" s="7"/>
      <c r="C14" s="7"/>
      <c r="D14" s="54" t="s">
        <v>1537</v>
      </c>
      <c r="E14" s="46"/>
      <c r="F14" s="46"/>
      <c r="G14" s="181"/>
      <c r="H14" s="181"/>
      <c r="I14" s="181"/>
      <c r="J14" s="181"/>
      <c r="K14" s="181"/>
      <c r="L14" s="181"/>
      <c r="M14" s="181"/>
      <c r="N14" s="182"/>
      <c r="O14" s="47" t="s">
        <v>1538</v>
      </c>
      <c r="P14" s="46"/>
      <c r="Q14" s="181"/>
      <c r="R14" s="181"/>
      <c r="S14" s="181"/>
      <c r="T14" s="182"/>
      <c r="U14" s="10"/>
      <c r="XFD14" s="2" t="s">
        <v>24</v>
      </c>
    </row>
    <row r="15" spans="1:21 16384:16384" x14ac:dyDescent="0.25">
      <c r="A15" s="10"/>
      <c r="B15" s="7"/>
      <c r="C15" s="7"/>
      <c r="D15" s="54" t="s">
        <v>1539</v>
      </c>
      <c r="E15" s="188"/>
      <c r="F15" s="181"/>
      <c r="G15" s="181"/>
      <c r="H15" s="49" t="s">
        <v>1540</v>
      </c>
      <c r="I15" s="188"/>
      <c r="J15" s="181"/>
      <c r="K15" s="181"/>
      <c r="L15" s="49" t="s">
        <v>55</v>
      </c>
      <c r="M15" s="181"/>
      <c r="N15" s="181"/>
      <c r="O15" s="181"/>
      <c r="P15" s="46" t="s">
        <v>56</v>
      </c>
      <c r="Q15" s="181"/>
      <c r="R15" s="181"/>
      <c r="S15" s="181"/>
      <c r="T15" s="182"/>
      <c r="U15" s="10"/>
      <c r="XFD15" s="2" t="s">
        <v>25</v>
      </c>
    </row>
    <row r="16" spans="1:21 16384:16384" x14ac:dyDescent="0.25">
      <c r="A16" s="10"/>
      <c r="B16" s="7"/>
      <c r="C16" s="7"/>
      <c r="D16" s="54" t="s">
        <v>1541</v>
      </c>
      <c r="E16" s="6"/>
      <c r="F16" s="6"/>
      <c r="G16" s="6"/>
      <c r="H16" s="6"/>
      <c r="I16" s="6"/>
      <c r="J16" s="50"/>
      <c r="K16" s="49" t="s">
        <v>1542</v>
      </c>
      <c r="L16" s="50"/>
      <c r="M16" s="45"/>
      <c r="N16" s="49" t="s">
        <v>1543</v>
      </c>
      <c r="O16" s="181"/>
      <c r="P16" s="182"/>
      <c r="Q16" s="49" t="s">
        <v>57</v>
      </c>
      <c r="R16" s="51"/>
      <c r="S16" s="51"/>
      <c r="T16" s="52"/>
      <c r="U16" s="10"/>
      <c r="XFD16" s="2" t="s">
        <v>26</v>
      </c>
    </row>
    <row r="17" spans="1:21 16384:16384" x14ac:dyDescent="0.25">
      <c r="A17" s="10"/>
      <c r="B17" s="7"/>
      <c r="C17" s="7"/>
      <c r="D17" s="206" t="s">
        <v>58</v>
      </c>
      <c r="E17" s="206"/>
      <c r="F17" s="53"/>
      <c r="G17" s="53"/>
      <c r="H17" s="53"/>
      <c r="I17" s="53"/>
      <c r="J17" s="53"/>
      <c r="K17" s="53"/>
      <c r="L17" s="47" t="s">
        <v>89</v>
      </c>
      <c r="M17" s="181"/>
      <c r="N17" s="181"/>
      <c r="O17" s="182"/>
      <c r="P17" s="47" t="s">
        <v>90</v>
      </c>
      <c r="Q17" s="181"/>
      <c r="R17" s="181"/>
      <c r="S17" s="181"/>
      <c r="T17" s="182"/>
      <c r="U17" s="10"/>
      <c r="XFD17" s="2" t="s">
        <v>27</v>
      </c>
    </row>
    <row r="18" spans="1:21 16384:16384" x14ac:dyDescent="0.25">
      <c r="A18" s="10"/>
      <c r="B18" s="7"/>
      <c r="C18" s="7"/>
      <c r="D18" s="206" t="s">
        <v>172</v>
      </c>
      <c r="E18" s="206"/>
      <c r="F18" s="207"/>
      <c r="G18" s="207"/>
      <c r="H18" s="207"/>
      <c r="I18" s="207"/>
      <c r="J18" s="207"/>
      <c r="K18" s="208"/>
      <c r="L18" s="47" t="s">
        <v>173</v>
      </c>
      <c r="M18" s="50"/>
      <c r="N18" s="89"/>
      <c r="O18" s="50"/>
      <c r="P18" s="47" t="s">
        <v>174</v>
      </c>
      <c r="Q18" s="50"/>
      <c r="R18" s="50"/>
      <c r="S18" s="50"/>
      <c r="T18" s="45"/>
      <c r="U18" s="10"/>
      <c r="XFD18" s="2" t="s">
        <v>28</v>
      </c>
    </row>
    <row r="19" spans="1:21 16384:16384" x14ac:dyDescent="0.25">
      <c r="A19" s="10"/>
      <c r="B19" s="7"/>
      <c r="C19" s="7"/>
      <c r="D19" s="55" t="str">
        <f>IF(OR(D8="Servicios",D8="Productos y Servicios"),"PERIODO FACTURADO*","PERIODO FACTURADO")</f>
        <v>PERIODO FACTURADO</v>
      </c>
      <c r="E19" s="46"/>
      <c r="F19" s="181"/>
      <c r="G19" s="181"/>
      <c r="H19" s="181"/>
      <c r="I19" s="49" t="s">
        <v>1544</v>
      </c>
      <c r="J19" s="53"/>
      <c r="K19" s="53"/>
      <c r="L19" s="53"/>
      <c r="M19" s="53"/>
      <c r="N19" s="49" t="s">
        <v>1545</v>
      </c>
      <c r="O19" s="53"/>
      <c r="P19" s="53"/>
      <c r="Q19" s="53"/>
      <c r="R19" s="53"/>
      <c r="S19" s="53"/>
      <c r="T19" s="52"/>
      <c r="U19" s="10"/>
      <c r="XFD19" s="2" t="s">
        <v>29</v>
      </c>
    </row>
    <row r="20" spans="1:21 16384:16384" x14ac:dyDescent="0.25">
      <c r="A20" s="10"/>
      <c r="B20" s="7"/>
      <c r="C20" s="7"/>
      <c r="D20" s="183" t="s">
        <v>1546</v>
      </c>
      <c r="E20" s="183"/>
      <c r="F20" s="181" t="s">
        <v>107</v>
      </c>
      <c r="G20" s="181"/>
      <c r="H20" s="181"/>
      <c r="I20" s="183" t="str">
        <f>IF(F20="Persona Jurídica","RESPONSABILIDAD FISCAL*","RESPONSABILIDAD FISCAL")</f>
        <v>RESPONSABILIDAD FISCAL</v>
      </c>
      <c r="J20" s="183"/>
      <c r="K20" s="181" t="s">
        <v>34</v>
      </c>
      <c r="L20" s="181"/>
      <c r="M20" s="181"/>
      <c r="N20" s="41"/>
      <c r="O20" s="41"/>
      <c r="P20" s="41"/>
      <c r="Q20" s="41"/>
      <c r="R20" s="41"/>
      <c r="S20" s="41"/>
      <c r="T20" s="7"/>
      <c r="U20" s="10"/>
      <c r="XFD20" s="2" t="s">
        <v>30</v>
      </c>
    </row>
    <row r="21" spans="1:21 16384:16384" x14ac:dyDescent="0.25">
      <c r="A21" s="10"/>
      <c r="U21" s="10"/>
      <c r="XFD21" s="2" t="s">
        <v>31</v>
      </c>
    </row>
    <row r="22" spans="1:21 16384:16384" ht="30" x14ac:dyDescent="0.25">
      <c r="A22" s="10"/>
      <c r="D22" s="11" t="s">
        <v>59</v>
      </c>
      <c r="E22" s="12" t="s">
        <v>1547</v>
      </c>
      <c r="F22" s="189" t="s">
        <v>1548</v>
      </c>
      <c r="G22" s="190"/>
      <c r="H22" s="13" t="str">
        <f>IF(D8="Productos","Bodega*","Bodega")</f>
        <v>Bodega*</v>
      </c>
      <c r="I22" s="13" t="s">
        <v>1549</v>
      </c>
      <c r="J22" s="13" t="s">
        <v>1550</v>
      </c>
      <c r="K22" s="13" t="s">
        <v>1551</v>
      </c>
      <c r="L22" s="13" t="s">
        <v>5</v>
      </c>
      <c r="M22" s="13" t="s">
        <v>1552</v>
      </c>
      <c r="N22" s="13" t="s">
        <v>1553</v>
      </c>
      <c r="O22" s="13" t="s">
        <v>6</v>
      </c>
      <c r="P22" s="14" t="s">
        <v>1554</v>
      </c>
      <c r="Q22" s="15" t="s">
        <v>1555</v>
      </c>
      <c r="U22" s="10"/>
      <c r="XFD22" s="2" t="s">
        <v>32</v>
      </c>
    </row>
    <row r="23" spans="1:21 16384:16384" x14ac:dyDescent="0.25">
      <c r="A23" s="10"/>
      <c r="D23" s="56" t="s">
        <v>91</v>
      </c>
      <c r="E23" s="60"/>
      <c r="F23" s="61"/>
      <c r="G23" s="62"/>
      <c r="H23" s="63">
        <v>123</v>
      </c>
      <c r="I23" s="64">
        <v>123</v>
      </c>
      <c r="J23" s="63" t="s">
        <v>4</v>
      </c>
      <c r="K23" s="65">
        <v>100000</v>
      </c>
      <c r="L23" s="35">
        <f>IF(AND(I23="",K23=""),"",K23*I23)</f>
        <v>12300000</v>
      </c>
      <c r="M23" s="98">
        <f>+L23*15%</f>
        <v>1845000</v>
      </c>
      <c r="N23" s="75">
        <v>20000</v>
      </c>
      <c r="O23" s="37">
        <f>IF(AND(L23="",M23="",N23=""),"",IF(M23&lt;=1,+L23*(1-M23)+N23,L23-M23+N23))</f>
        <v>10475000</v>
      </c>
      <c r="P23" s="77">
        <v>0.08</v>
      </c>
      <c r="Q23" s="78">
        <v>0.19</v>
      </c>
      <c r="U23" s="10"/>
      <c r="XFD23" s="2" t="s">
        <v>33</v>
      </c>
    </row>
    <row r="24" spans="1:21 16384:16384" x14ac:dyDescent="0.25">
      <c r="A24" s="10"/>
      <c r="D24" s="57">
        <f>D23+1</f>
        <v>2</v>
      </c>
      <c r="E24" s="66"/>
      <c r="F24" s="61"/>
      <c r="G24" s="62"/>
      <c r="H24" s="6"/>
      <c r="I24" s="67"/>
      <c r="J24" s="89"/>
      <c r="K24" s="68"/>
      <c r="L24" s="5" t="str">
        <f t="shared" ref="L24:L41" si="0">IF(AND(I24="",K24=""),"",K24*I24)</f>
        <v/>
      </c>
      <c r="M24" s="68"/>
      <c r="N24" s="7"/>
      <c r="O24" s="38" t="str">
        <f t="shared" ref="O24:O41" si="1">IF(AND(L24="",M24="",N24=""),"",IF(M24&lt;=1,+L24*(1-M24)+N24,L24-M24+N24))</f>
        <v/>
      </c>
      <c r="P24" s="79"/>
      <c r="Q24" s="80"/>
      <c r="U24" s="10"/>
      <c r="XFD24" s="2" t="s">
        <v>34</v>
      </c>
    </row>
    <row r="25" spans="1:21 16384:16384" x14ac:dyDescent="0.25">
      <c r="A25" s="10"/>
      <c r="D25" s="58">
        <f t="shared" ref="D25:D41" si="2">D24+1</f>
        <v>3</v>
      </c>
      <c r="E25" s="66"/>
      <c r="F25" s="61"/>
      <c r="G25" s="62"/>
      <c r="H25" s="6"/>
      <c r="I25" s="67"/>
      <c r="J25" s="89"/>
      <c r="K25" s="68"/>
      <c r="L25" s="5" t="str">
        <f t="shared" si="0"/>
        <v/>
      </c>
      <c r="M25" s="68"/>
      <c r="N25" s="7"/>
      <c r="O25" s="38" t="str">
        <f t="shared" si="1"/>
        <v/>
      </c>
      <c r="P25" s="79"/>
      <c r="Q25" s="80"/>
      <c r="U25" s="10"/>
      <c r="XFD25" s="2" t="s">
        <v>35</v>
      </c>
    </row>
    <row r="26" spans="1:21 16384:16384" x14ac:dyDescent="0.25">
      <c r="A26" s="10"/>
      <c r="D26" s="58">
        <f t="shared" si="2"/>
        <v>4</v>
      </c>
      <c r="E26" s="66"/>
      <c r="F26" s="61"/>
      <c r="G26" s="62"/>
      <c r="H26" s="6"/>
      <c r="I26" s="67"/>
      <c r="J26" s="89"/>
      <c r="K26" s="68"/>
      <c r="L26" s="5" t="str">
        <f t="shared" si="0"/>
        <v/>
      </c>
      <c r="M26" s="68"/>
      <c r="N26" s="7"/>
      <c r="O26" s="38" t="str">
        <f t="shared" si="1"/>
        <v/>
      </c>
      <c r="P26" s="79"/>
      <c r="Q26" s="80"/>
      <c r="U26" s="10"/>
      <c r="XFD26" s="2" t="s">
        <v>36</v>
      </c>
    </row>
    <row r="27" spans="1:21 16384:16384" x14ac:dyDescent="0.25">
      <c r="A27" s="10"/>
      <c r="D27" s="58">
        <f t="shared" si="2"/>
        <v>5</v>
      </c>
      <c r="E27" s="66"/>
      <c r="F27" s="61"/>
      <c r="G27" s="62"/>
      <c r="H27" s="6"/>
      <c r="I27" s="67"/>
      <c r="J27" s="89"/>
      <c r="K27" s="68"/>
      <c r="L27" s="5" t="str">
        <f t="shared" si="0"/>
        <v/>
      </c>
      <c r="M27" s="68"/>
      <c r="N27" s="7"/>
      <c r="O27" s="38" t="str">
        <f t="shared" si="1"/>
        <v/>
      </c>
      <c r="P27" s="79"/>
      <c r="Q27" s="80"/>
      <c r="U27" s="10"/>
      <c r="XFD27" s="2" t="s">
        <v>37</v>
      </c>
    </row>
    <row r="28" spans="1:21 16384:16384" x14ac:dyDescent="0.25">
      <c r="A28" s="10"/>
      <c r="D28" s="58">
        <f t="shared" si="2"/>
        <v>6</v>
      </c>
      <c r="E28" s="66"/>
      <c r="F28" s="61"/>
      <c r="G28" s="62"/>
      <c r="H28" s="6"/>
      <c r="I28" s="67"/>
      <c r="J28" s="89"/>
      <c r="K28" s="68"/>
      <c r="L28" s="5" t="str">
        <f t="shared" si="0"/>
        <v/>
      </c>
      <c r="M28" s="68"/>
      <c r="N28" s="7"/>
      <c r="O28" s="38" t="str">
        <f t="shared" si="1"/>
        <v/>
      </c>
      <c r="P28" s="79"/>
      <c r="Q28" s="80"/>
      <c r="U28" s="10"/>
      <c r="XFD28" s="2" t="s">
        <v>38</v>
      </c>
    </row>
    <row r="29" spans="1:21 16384:16384" x14ac:dyDescent="0.25">
      <c r="A29" s="10"/>
      <c r="D29" s="58">
        <f t="shared" si="2"/>
        <v>7</v>
      </c>
      <c r="E29" s="66"/>
      <c r="F29" s="61"/>
      <c r="G29" s="62"/>
      <c r="H29" s="6"/>
      <c r="I29" s="67"/>
      <c r="J29" s="89"/>
      <c r="K29" s="68"/>
      <c r="L29" s="5" t="str">
        <f t="shared" si="0"/>
        <v/>
      </c>
      <c r="M29" s="68"/>
      <c r="N29" s="7"/>
      <c r="O29" s="38" t="str">
        <f t="shared" si="1"/>
        <v/>
      </c>
      <c r="P29" s="79"/>
      <c r="Q29" s="80"/>
      <c r="U29" s="10"/>
      <c r="XFD29" s="2" t="s">
        <v>39</v>
      </c>
    </row>
    <row r="30" spans="1:21 16384:16384" x14ac:dyDescent="0.25">
      <c r="A30" s="10"/>
      <c r="D30" s="58">
        <f t="shared" si="2"/>
        <v>8</v>
      </c>
      <c r="E30" s="66"/>
      <c r="F30" s="61"/>
      <c r="G30" s="62"/>
      <c r="H30" s="6"/>
      <c r="I30" s="67"/>
      <c r="J30" s="89"/>
      <c r="K30" s="68"/>
      <c r="L30" s="5" t="str">
        <f t="shared" si="0"/>
        <v/>
      </c>
      <c r="M30" s="68"/>
      <c r="N30" s="7"/>
      <c r="O30" s="38" t="str">
        <f t="shared" si="1"/>
        <v/>
      </c>
      <c r="P30" s="79"/>
      <c r="Q30" s="80"/>
      <c r="U30" s="10"/>
      <c r="XFD30" s="2" t="s">
        <v>40</v>
      </c>
    </row>
    <row r="31" spans="1:21 16384:16384" x14ac:dyDescent="0.25">
      <c r="A31" s="10"/>
      <c r="D31" s="58">
        <f t="shared" si="2"/>
        <v>9</v>
      </c>
      <c r="E31" s="66"/>
      <c r="F31" s="61"/>
      <c r="G31" s="62"/>
      <c r="H31" s="6"/>
      <c r="I31" s="67"/>
      <c r="J31" s="89"/>
      <c r="K31" s="68"/>
      <c r="L31" s="5" t="str">
        <f t="shared" si="0"/>
        <v/>
      </c>
      <c r="M31" s="68"/>
      <c r="N31" s="7"/>
      <c r="O31" s="38" t="str">
        <f t="shared" si="1"/>
        <v/>
      </c>
      <c r="P31" s="79"/>
      <c r="Q31" s="80"/>
      <c r="U31" s="10"/>
      <c r="XFD31" s="2" t="s">
        <v>41</v>
      </c>
    </row>
    <row r="32" spans="1:21 16384:16384" x14ac:dyDescent="0.25">
      <c r="A32" s="10"/>
      <c r="D32" s="58">
        <f t="shared" si="2"/>
        <v>10</v>
      </c>
      <c r="E32" s="66"/>
      <c r="F32" s="61"/>
      <c r="G32" s="62"/>
      <c r="H32" s="6"/>
      <c r="I32" s="67"/>
      <c r="J32" s="89"/>
      <c r="K32" s="68"/>
      <c r="L32" s="5" t="str">
        <f t="shared" si="0"/>
        <v/>
      </c>
      <c r="M32" s="68"/>
      <c r="N32" s="7"/>
      <c r="O32" s="38" t="str">
        <f t="shared" si="1"/>
        <v/>
      </c>
      <c r="P32" s="79"/>
      <c r="Q32" s="80"/>
      <c r="U32" s="10"/>
      <c r="XFD32" s="2" t="s">
        <v>42</v>
      </c>
    </row>
    <row r="33" spans="1:21 16384:16384" x14ac:dyDescent="0.25">
      <c r="A33" s="10"/>
      <c r="D33" s="58">
        <f t="shared" si="2"/>
        <v>11</v>
      </c>
      <c r="E33" s="66"/>
      <c r="F33" s="61"/>
      <c r="G33" s="62"/>
      <c r="H33" s="6"/>
      <c r="I33" s="67"/>
      <c r="J33" s="89"/>
      <c r="K33" s="68"/>
      <c r="L33" s="5" t="str">
        <f t="shared" si="0"/>
        <v/>
      </c>
      <c r="M33" s="68"/>
      <c r="N33" s="7"/>
      <c r="O33" s="38" t="str">
        <f t="shared" si="1"/>
        <v/>
      </c>
      <c r="P33" s="79"/>
      <c r="Q33" s="80"/>
      <c r="U33" s="10"/>
      <c r="XFD33" s="2" t="s">
        <v>43</v>
      </c>
    </row>
    <row r="34" spans="1:21 16384:16384" x14ac:dyDescent="0.25">
      <c r="A34" s="10"/>
      <c r="D34" s="58">
        <f t="shared" si="2"/>
        <v>12</v>
      </c>
      <c r="E34" s="66"/>
      <c r="F34" s="61"/>
      <c r="G34" s="62"/>
      <c r="H34" s="6"/>
      <c r="I34" s="67"/>
      <c r="J34" s="89"/>
      <c r="K34" s="68"/>
      <c r="L34" s="5" t="str">
        <f t="shared" si="0"/>
        <v/>
      </c>
      <c r="M34" s="68"/>
      <c r="N34" s="7"/>
      <c r="O34" s="38" t="str">
        <f t="shared" si="1"/>
        <v/>
      </c>
      <c r="P34" s="79"/>
      <c r="Q34" s="80"/>
      <c r="U34" s="10"/>
      <c r="XFD34" s="2" t="s">
        <v>44</v>
      </c>
    </row>
    <row r="35" spans="1:21 16384:16384" x14ac:dyDescent="0.25">
      <c r="A35" s="10"/>
      <c r="D35" s="58">
        <f t="shared" si="2"/>
        <v>13</v>
      </c>
      <c r="E35" s="66"/>
      <c r="F35" s="61"/>
      <c r="G35" s="62"/>
      <c r="H35" s="6"/>
      <c r="I35" s="67"/>
      <c r="J35" s="89"/>
      <c r="K35" s="68"/>
      <c r="L35" s="5" t="str">
        <f t="shared" si="0"/>
        <v/>
      </c>
      <c r="M35" s="68"/>
      <c r="N35" s="7"/>
      <c r="O35" s="38" t="str">
        <f t="shared" si="1"/>
        <v/>
      </c>
      <c r="P35" s="79"/>
      <c r="Q35" s="80"/>
      <c r="U35" s="10"/>
      <c r="XFD35" s="2" t="s">
        <v>45</v>
      </c>
    </row>
    <row r="36" spans="1:21 16384:16384" x14ac:dyDescent="0.25">
      <c r="A36" s="10"/>
      <c r="D36" s="58">
        <f t="shared" si="2"/>
        <v>14</v>
      </c>
      <c r="E36" s="66"/>
      <c r="F36" s="61"/>
      <c r="G36" s="62"/>
      <c r="H36" s="6"/>
      <c r="I36" s="67"/>
      <c r="J36" s="89"/>
      <c r="K36" s="68"/>
      <c r="L36" s="5" t="str">
        <f t="shared" si="0"/>
        <v/>
      </c>
      <c r="M36" s="68"/>
      <c r="N36" s="7"/>
      <c r="O36" s="38" t="str">
        <f t="shared" si="1"/>
        <v/>
      </c>
      <c r="P36" s="79"/>
      <c r="Q36" s="80"/>
      <c r="U36" s="10"/>
      <c r="XFD36" s="2" t="s">
        <v>46</v>
      </c>
    </row>
    <row r="37" spans="1:21 16384:16384" x14ac:dyDescent="0.25">
      <c r="A37" s="10"/>
      <c r="D37" s="58">
        <f t="shared" si="2"/>
        <v>15</v>
      </c>
      <c r="E37" s="66"/>
      <c r="F37" s="61"/>
      <c r="G37" s="62"/>
      <c r="H37" s="6"/>
      <c r="I37" s="67"/>
      <c r="J37" s="89"/>
      <c r="K37" s="68"/>
      <c r="L37" s="5" t="str">
        <f t="shared" si="0"/>
        <v/>
      </c>
      <c r="M37" s="68"/>
      <c r="N37" s="7"/>
      <c r="O37" s="38" t="str">
        <f t="shared" si="1"/>
        <v/>
      </c>
      <c r="P37" s="79"/>
      <c r="Q37" s="80"/>
      <c r="U37" s="10"/>
      <c r="XFD37" s="2" t="s">
        <v>47</v>
      </c>
    </row>
    <row r="38" spans="1:21 16384:16384" x14ac:dyDescent="0.25">
      <c r="A38" s="10"/>
      <c r="D38" s="58">
        <f t="shared" si="2"/>
        <v>16</v>
      </c>
      <c r="E38" s="66"/>
      <c r="F38" s="61"/>
      <c r="G38" s="62"/>
      <c r="H38" s="6"/>
      <c r="I38" s="67"/>
      <c r="J38" s="89"/>
      <c r="K38" s="68"/>
      <c r="L38" s="5" t="str">
        <f t="shared" si="0"/>
        <v/>
      </c>
      <c r="M38" s="68"/>
      <c r="N38" s="7"/>
      <c r="O38" s="38" t="str">
        <f t="shared" si="1"/>
        <v/>
      </c>
      <c r="P38" s="79"/>
      <c r="Q38" s="80"/>
      <c r="U38" s="10"/>
      <c r="XFD38" s="2" t="s">
        <v>48</v>
      </c>
    </row>
    <row r="39" spans="1:21 16384:16384" x14ac:dyDescent="0.25">
      <c r="A39" s="10"/>
      <c r="D39" s="58">
        <f t="shared" si="2"/>
        <v>17</v>
      </c>
      <c r="E39" s="66"/>
      <c r="F39" s="61"/>
      <c r="G39" s="62"/>
      <c r="H39" s="6"/>
      <c r="I39" s="67"/>
      <c r="J39" s="89"/>
      <c r="K39" s="68"/>
      <c r="L39" s="5" t="str">
        <f t="shared" si="0"/>
        <v/>
      </c>
      <c r="M39" s="68"/>
      <c r="N39" s="7"/>
      <c r="O39" s="38" t="str">
        <f t="shared" si="1"/>
        <v/>
      </c>
      <c r="P39" s="79"/>
      <c r="Q39" s="80"/>
      <c r="U39" s="10"/>
      <c r="XFD39" s="2" t="s">
        <v>49</v>
      </c>
    </row>
    <row r="40" spans="1:21 16384:16384" x14ac:dyDescent="0.25">
      <c r="A40" s="10"/>
      <c r="D40" s="58">
        <f t="shared" si="2"/>
        <v>18</v>
      </c>
      <c r="E40" s="66"/>
      <c r="F40" s="61"/>
      <c r="G40" s="62"/>
      <c r="H40" s="6"/>
      <c r="I40" s="67"/>
      <c r="J40" s="89"/>
      <c r="K40" s="68"/>
      <c r="L40" s="5" t="str">
        <f t="shared" si="0"/>
        <v/>
      </c>
      <c r="M40" s="68"/>
      <c r="N40" s="7"/>
      <c r="O40" s="38" t="str">
        <f t="shared" si="1"/>
        <v/>
      </c>
      <c r="P40" s="79"/>
      <c r="Q40" s="80"/>
      <c r="U40" s="10"/>
      <c r="XFD40" s="2" t="s">
        <v>50</v>
      </c>
    </row>
    <row r="41" spans="1:21 16384:16384" x14ac:dyDescent="0.25">
      <c r="A41" s="10"/>
      <c r="D41" s="59">
        <f t="shared" si="2"/>
        <v>19</v>
      </c>
      <c r="E41" s="69"/>
      <c r="F41" s="70"/>
      <c r="G41" s="71"/>
      <c r="H41" s="72"/>
      <c r="I41" s="73"/>
      <c r="J41" s="72"/>
      <c r="K41" s="74"/>
      <c r="L41" s="36" t="str">
        <f t="shared" si="0"/>
        <v/>
      </c>
      <c r="M41" s="74"/>
      <c r="N41" s="76"/>
      <c r="O41" s="39" t="str">
        <f t="shared" si="1"/>
        <v/>
      </c>
      <c r="P41" s="81"/>
      <c r="Q41" s="82"/>
      <c r="U41" s="10"/>
    </row>
    <row r="42" spans="1:21 16384:16384" x14ac:dyDescent="0.25">
      <c r="A42" s="10"/>
      <c r="D42" s="26" t="s">
        <v>51</v>
      </c>
      <c r="E42" s="23"/>
      <c r="F42" s="25"/>
      <c r="G42" s="25"/>
      <c r="H42" s="23"/>
      <c r="I42" s="23"/>
      <c r="J42" s="23"/>
      <c r="K42" s="24"/>
      <c r="M42" s="24"/>
      <c r="N42" s="24"/>
      <c r="O42" s="24"/>
      <c r="P42" s="24"/>
      <c r="Q42" s="24"/>
      <c r="U42" s="10"/>
    </row>
    <row r="43" spans="1:21 16384:16384" x14ac:dyDescent="0.25">
      <c r="A43" s="10"/>
      <c r="U43" s="10"/>
    </row>
    <row r="44" spans="1:21 16384:16384" ht="15.75" x14ac:dyDescent="0.25">
      <c r="A44" s="10"/>
      <c r="D44" s="191" t="s">
        <v>61</v>
      </c>
      <c r="E44" s="192"/>
      <c r="F44" s="191" t="s">
        <v>62</v>
      </c>
      <c r="G44" s="192"/>
      <c r="H44" s="191" t="s">
        <v>63</v>
      </c>
      <c r="I44" s="192"/>
      <c r="J44" s="191" t="s">
        <v>64</v>
      </c>
      <c r="K44" s="192"/>
      <c r="O44" s="177" t="s">
        <v>9</v>
      </c>
      <c r="P44" s="178"/>
      <c r="Q44" s="201">
        <f>+SUM(L23:L41)</f>
        <v>12300000</v>
      </c>
      <c r="R44" s="202"/>
      <c r="S44" s="18"/>
      <c r="U44" s="10"/>
    </row>
    <row r="45" spans="1:21 16384:16384" ht="15.75" x14ac:dyDescent="0.25">
      <c r="A45" s="10"/>
      <c r="D45" s="184" t="s">
        <v>65</v>
      </c>
      <c r="E45" s="185"/>
      <c r="F45" s="185"/>
      <c r="G45" s="185"/>
      <c r="H45" s="185"/>
      <c r="I45" s="185"/>
      <c r="J45" s="185"/>
      <c r="K45" s="186"/>
      <c r="O45" s="177" t="s">
        <v>10</v>
      </c>
      <c r="P45" s="178"/>
      <c r="Q45" s="212">
        <f>-SUM(M23:M41)</f>
        <v>-1845000</v>
      </c>
      <c r="R45" s="213"/>
      <c r="S45" s="19"/>
      <c r="U45" s="10"/>
    </row>
    <row r="46" spans="1:21 16384:16384" x14ac:dyDescent="0.25">
      <c r="A46" s="10"/>
      <c r="D46" s="197" t="s">
        <v>66</v>
      </c>
      <c r="E46" s="198"/>
      <c r="F46" s="193">
        <f>IF(COUNTIFS(L23:L41,"&gt;"&amp;0,Q23:Q41,H46)&gt;=1,Q44+Q45,0)</f>
        <v>10455000</v>
      </c>
      <c r="G46" s="194"/>
      <c r="H46" s="195">
        <v>0.19</v>
      </c>
      <c r="I46" s="196"/>
      <c r="J46" s="193">
        <f>F46*H46</f>
        <v>1986450</v>
      </c>
      <c r="K46" s="194"/>
      <c r="O46" s="177" t="s">
        <v>60</v>
      </c>
      <c r="P46" s="178"/>
      <c r="Q46" s="201">
        <f>+SUM(N23:N41)</f>
        <v>20000</v>
      </c>
      <c r="R46" s="202"/>
      <c r="S46" s="18"/>
      <c r="U46" s="10"/>
    </row>
    <row r="47" spans="1:21 16384:16384" ht="15.75" x14ac:dyDescent="0.25">
      <c r="A47" s="10"/>
      <c r="D47" s="197" t="s">
        <v>67</v>
      </c>
      <c r="E47" s="198"/>
      <c r="F47" s="193">
        <f>IF(COUNTIFS(L23:L41,"&gt;"&amp;0,Q23:Q41,H47)&gt;=1,Q44+Q45,0)</f>
        <v>0</v>
      </c>
      <c r="G47" s="194"/>
      <c r="H47" s="195">
        <v>0.05</v>
      </c>
      <c r="I47" s="196"/>
      <c r="J47" s="193">
        <f>F47*H47</f>
        <v>0</v>
      </c>
      <c r="K47" s="194"/>
      <c r="O47" s="179" t="s">
        <v>7</v>
      </c>
      <c r="P47" s="180"/>
      <c r="Q47" s="201">
        <f>+SUM(O23:O41)</f>
        <v>10475000</v>
      </c>
      <c r="R47" s="202"/>
      <c r="S47" s="18"/>
      <c r="U47" s="10"/>
    </row>
    <row r="48" spans="1:21 16384:16384" x14ac:dyDescent="0.25">
      <c r="A48" s="10"/>
      <c r="D48" s="197" t="s">
        <v>112</v>
      </c>
      <c r="E48" s="198"/>
      <c r="F48" s="193">
        <f>IF(COUNTIFS(L23:L41,"&gt;"&amp;0,Q23:Q41,H48)&gt;=1,Q44+Q45,0)</f>
        <v>0</v>
      </c>
      <c r="G48" s="194"/>
      <c r="H48" s="195">
        <v>0</v>
      </c>
      <c r="I48" s="196"/>
      <c r="J48" s="193">
        <f>F48*H48</f>
        <v>0</v>
      </c>
      <c r="K48" s="194"/>
      <c r="O48" s="177" t="s">
        <v>8</v>
      </c>
      <c r="P48" s="178"/>
      <c r="Q48" s="201">
        <f>SUM(J46:K50)</f>
        <v>1986450</v>
      </c>
      <c r="R48" s="202"/>
      <c r="S48" s="18"/>
      <c r="U48" s="10"/>
    </row>
    <row r="49" spans="1:21" x14ac:dyDescent="0.25">
      <c r="A49" s="10"/>
      <c r="D49" s="197" t="s">
        <v>110</v>
      </c>
      <c r="E49" s="198"/>
      <c r="F49" s="193">
        <f>IF(COUNTIFS(L23:L41,"&gt;"&amp;0,Q23:Q41,H49)&gt;=1,Q44+Q45,0)</f>
        <v>0</v>
      </c>
      <c r="G49" s="194"/>
      <c r="H49" s="197" t="s">
        <v>110</v>
      </c>
      <c r="I49" s="198"/>
      <c r="J49" s="193">
        <f>IFERROR(F49*H49,0)</f>
        <v>0</v>
      </c>
      <c r="K49" s="194"/>
      <c r="O49" s="177" t="str">
        <f>P22</f>
        <v>Impoconsumo*</v>
      </c>
      <c r="P49" s="178"/>
      <c r="Q49" s="201">
        <f>+SUMPRODUCT(O23:O41,P23:P41)</f>
        <v>838000</v>
      </c>
      <c r="R49" s="202"/>
      <c r="S49" s="18"/>
      <c r="U49" s="10"/>
    </row>
    <row r="50" spans="1:21" x14ac:dyDescent="0.25">
      <c r="A50" s="10"/>
      <c r="D50" s="197" t="s">
        <v>111</v>
      </c>
      <c r="E50" s="198"/>
      <c r="F50" s="193">
        <f>IF(COUNTIFS(L23:L41,"&gt;"&amp;0,Q23:Q41,H50)&gt;=1,Q44+Q45,0)</f>
        <v>0</v>
      </c>
      <c r="G50" s="194"/>
      <c r="H50" s="197" t="s">
        <v>111</v>
      </c>
      <c r="I50" s="198"/>
      <c r="J50" s="193">
        <f>IFERROR(F50*H50,0)</f>
        <v>0</v>
      </c>
      <c r="K50" s="194"/>
      <c r="O50" s="177" t="s">
        <v>3</v>
      </c>
      <c r="P50" s="178"/>
      <c r="Q50" s="201">
        <f>J52</f>
        <v>0</v>
      </c>
      <c r="R50" s="202"/>
      <c r="S50" s="18"/>
      <c r="U50" s="10"/>
    </row>
    <row r="51" spans="1:21" ht="15.75" x14ac:dyDescent="0.25">
      <c r="A51" s="10"/>
      <c r="D51" s="199" t="s">
        <v>68</v>
      </c>
      <c r="E51" s="200"/>
      <c r="F51" s="200"/>
      <c r="G51" s="200"/>
      <c r="H51" s="200"/>
      <c r="I51" s="200"/>
      <c r="J51" s="200"/>
      <c r="K51" s="200"/>
      <c r="O51" s="177" t="s">
        <v>71</v>
      </c>
      <c r="P51" s="178"/>
      <c r="Q51" s="201">
        <f>J53</f>
        <v>0</v>
      </c>
      <c r="R51" s="202"/>
      <c r="S51" s="18"/>
      <c r="U51" s="10"/>
    </row>
    <row r="52" spans="1:21" x14ac:dyDescent="0.25">
      <c r="A52" s="10"/>
      <c r="D52" s="197" t="s">
        <v>69</v>
      </c>
      <c r="E52" s="198"/>
      <c r="F52" s="193">
        <f>Q44+Q45</f>
        <v>10455000</v>
      </c>
      <c r="G52" s="194"/>
      <c r="H52" s="195">
        <v>0</v>
      </c>
      <c r="I52" s="196"/>
      <c r="J52" s="193">
        <f>-F52*H52</f>
        <v>0</v>
      </c>
      <c r="K52" s="194"/>
      <c r="O52" s="177" t="s">
        <v>72</v>
      </c>
      <c r="P52" s="178"/>
      <c r="Q52" s="201">
        <f>IF(K20="O-23 Agente de retención en el impuesto sobre las ventas",-Q48*15%,0)</f>
        <v>0</v>
      </c>
      <c r="R52" s="202"/>
      <c r="S52" s="18"/>
      <c r="U52" s="10"/>
    </row>
    <row r="53" spans="1:21" ht="15.75" x14ac:dyDescent="0.25">
      <c r="A53" s="10"/>
      <c r="D53" s="197" t="s">
        <v>70</v>
      </c>
      <c r="E53" s="198"/>
      <c r="F53" s="193">
        <f>Q44+Q45</f>
        <v>10455000</v>
      </c>
      <c r="G53" s="194"/>
      <c r="H53" s="195">
        <f>0/1000</f>
        <v>0</v>
      </c>
      <c r="I53" s="196"/>
      <c r="J53" s="193">
        <f>-F53*H53</f>
        <v>0</v>
      </c>
      <c r="K53" s="194"/>
      <c r="O53" s="179" t="s">
        <v>73</v>
      </c>
      <c r="P53" s="180"/>
      <c r="Q53" s="209">
        <f>(Q47+Q48+Q49+Q50+Q51+Q52)</f>
        <v>13299450</v>
      </c>
      <c r="R53" s="210"/>
      <c r="S53" s="18"/>
      <c r="U53" s="10"/>
    </row>
    <row r="54" spans="1:21" x14ac:dyDescent="0.25">
      <c r="A54" s="10"/>
      <c r="S54" s="18"/>
      <c r="U54" s="10"/>
    </row>
    <row r="55" spans="1:21" ht="15.75" x14ac:dyDescent="0.25">
      <c r="A55" s="10"/>
      <c r="S55" s="20"/>
      <c r="U55" s="10"/>
    </row>
    <row r="56" spans="1:21" ht="15.75" x14ac:dyDescent="0.25">
      <c r="A56" s="10"/>
      <c r="D56" s="211" t="s">
        <v>115</v>
      </c>
      <c r="E56" s="211"/>
      <c r="O56" s="21"/>
      <c r="P56" s="21"/>
      <c r="Q56" s="211" t="s">
        <v>114</v>
      </c>
      <c r="R56" s="211"/>
      <c r="S56" s="20"/>
      <c r="U56" s="10"/>
    </row>
    <row r="57" spans="1:21" ht="15.75" x14ac:dyDescent="0.25">
      <c r="A57" s="10"/>
      <c r="D57" s="211"/>
      <c r="E57" s="211"/>
      <c r="O57" s="21"/>
      <c r="P57" s="21"/>
      <c r="Q57" s="211"/>
      <c r="R57" s="211"/>
      <c r="S57" s="20"/>
      <c r="U57" s="10"/>
    </row>
    <row r="58" spans="1:21" x14ac:dyDescent="0.25">
      <c r="A58" s="10"/>
      <c r="D58" s="211"/>
      <c r="E58" s="211"/>
      <c r="L58" s="22"/>
      <c r="M58" s="22"/>
      <c r="N58" s="22"/>
      <c r="Q58" s="211"/>
      <c r="R58" s="211"/>
      <c r="U58" s="10"/>
    </row>
    <row r="59" spans="1:21" x14ac:dyDescent="0.25">
      <c r="A59" s="17"/>
      <c r="B59" s="16"/>
      <c r="C59" s="16"/>
      <c r="D59" s="16"/>
      <c r="E59" s="16"/>
      <c r="F59" s="16"/>
      <c r="G59" s="16"/>
      <c r="H59" s="16"/>
      <c r="I59" s="16"/>
      <c r="J59" s="16"/>
      <c r="K59" s="16"/>
      <c r="L59" s="16"/>
      <c r="M59" s="16"/>
      <c r="N59" s="16"/>
      <c r="O59" s="16"/>
      <c r="P59" s="16"/>
      <c r="Q59" s="16"/>
      <c r="R59" s="16"/>
      <c r="S59" s="16"/>
      <c r="T59" s="16"/>
      <c r="U59" s="17"/>
    </row>
    <row r="60" spans="1:21" x14ac:dyDescent="0.25">
      <c r="D60" s="22"/>
      <c r="E60" s="22"/>
      <c r="F60" s="22"/>
      <c r="G60" s="22"/>
      <c r="H60" s="22"/>
      <c r="I60" s="22"/>
      <c r="J60" s="22"/>
      <c r="K60" s="22"/>
    </row>
  </sheetData>
  <mergeCells count="81">
    <mergeCell ref="D5:E5"/>
    <mergeCell ref="Q51:R51"/>
    <mergeCell ref="Q52:R52"/>
    <mergeCell ref="Q53:R53"/>
    <mergeCell ref="Q56:R58"/>
    <mergeCell ref="D56:E58"/>
    <mergeCell ref="D50:E50"/>
    <mergeCell ref="F50:G50"/>
    <mergeCell ref="H50:I50"/>
    <mergeCell ref="J50:K50"/>
    <mergeCell ref="Q44:R44"/>
    <mergeCell ref="Q45:R45"/>
    <mergeCell ref="Q46:R46"/>
    <mergeCell ref="Q47:R47"/>
    <mergeCell ref="Q48:R48"/>
    <mergeCell ref="Q49:R49"/>
    <mergeCell ref="Q50:R50"/>
    <mergeCell ref="D8:E8"/>
    <mergeCell ref="Q17:T17"/>
    <mergeCell ref="D49:E49"/>
    <mergeCell ref="F49:G49"/>
    <mergeCell ref="H49:I49"/>
    <mergeCell ref="J49:K49"/>
    <mergeCell ref="P10:T11"/>
    <mergeCell ref="D17:E17"/>
    <mergeCell ref="D18:E18"/>
    <mergeCell ref="F18:K18"/>
    <mergeCell ref="D46:E46"/>
    <mergeCell ref="F46:G46"/>
    <mergeCell ref="H46:I46"/>
    <mergeCell ref="J46:K46"/>
    <mergeCell ref="D47:E47"/>
    <mergeCell ref="D51:K51"/>
    <mergeCell ref="D53:E53"/>
    <mergeCell ref="F53:G53"/>
    <mergeCell ref="H53:I53"/>
    <mergeCell ref="J53:K53"/>
    <mergeCell ref="D52:E52"/>
    <mergeCell ref="F52:G52"/>
    <mergeCell ref="H52:I52"/>
    <mergeCell ref="J52:K52"/>
    <mergeCell ref="F47:G47"/>
    <mergeCell ref="H47:I47"/>
    <mergeCell ref="J47:K47"/>
    <mergeCell ref="D48:E48"/>
    <mergeCell ref="F48:G48"/>
    <mergeCell ref="H48:I48"/>
    <mergeCell ref="J48:K48"/>
    <mergeCell ref="D45:K45"/>
    <mergeCell ref="D10:F10"/>
    <mergeCell ref="H10:J10"/>
    <mergeCell ref="L10:N10"/>
    <mergeCell ref="G14:N14"/>
    <mergeCell ref="I15:K15"/>
    <mergeCell ref="F22:G22"/>
    <mergeCell ref="D44:E44"/>
    <mergeCell ref="F44:G44"/>
    <mergeCell ref="H44:I44"/>
    <mergeCell ref="J44:K44"/>
    <mergeCell ref="E15:G15"/>
    <mergeCell ref="M15:O15"/>
    <mergeCell ref="O44:P44"/>
    <mergeCell ref="O45:P45"/>
    <mergeCell ref="P12:T12"/>
    <mergeCell ref="Q14:T14"/>
    <mergeCell ref="Q15:T15"/>
    <mergeCell ref="M17:O17"/>
    <mergeCell ref="D20:E20"/>
    <mergeCell ref="I20:J20"/>
    <mergeCell ref="F19:H19"/>
    <mergeCell ref="F20:H20"/>
    <mergeCell ref="K20:M20"/>
    <mergeCell ref="O51:P51"/>
    <mergeCell ref="O52:P52"/>
    <mergeCell ref="O53:P53"/>
    <mergeCell ref="O16:P16"/>
    <mergeCell ref="O46:P46"/>
    <mergeCell ref="O47:P47"/>
    <mergeCell ref="O48:P48"/>
    <mergeCell ref="O49:P49"/>
    <mergeCell ref="O50:P50"/>
  </mergeCells>
  <phoneticPr fontId="4" type="noConversion"/>
  <conditionalFormatting sqref="K20:M20">
    <cfRule type="expression" dxfId="1" priority="1">
      <formula>IF($F$20="Persona Natural",TRUE,FALSE)</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4">
        <x14:dataValidation type="list" allowBlank="1" showInputMessage="1" showErrorMessage="1" xr:uid="{953A4AAB-BC69-4617-A33E-682F841A1B70}">
          <x14:formula1>
            <xm:f>'Listas desplegables'!$A$2:$A$32</xm:f>
          </x14:formula1>
          <xm:sqref>D12 L12</xm:sqref>
        </x14:dataValidation>
        <x14:dataValidation type="list" allowBlank="1" showInputMessage="1" showErrorMessage="1" xr:uid="{F208688F-3EF5-426F-8396-529AA6D1BA45}">
          <x14:formula1>
            <xm:f>'Listas desplegables'!$B$2:$B$13</xm:f>
          </x14:formula1>
          <xm:sqref>E12 M12</xm:sqref>
        </x14:dataValidation>
        <x14:dataValidation type="list" allowBlank="1" showInputMessage="1" showErrorMessage="1" xr:uid="{58EADA94-AC2A-427C-BAE8-7986A1D11222}">
          <x14:formula1>
            <xm:f>'Listas desplegables'!$C$2:$C$162</xm:f>
          </x14:formula1>
          <xm:sqref>F12 N12</xm:sqref>
        </x14:dataValidation>
        <x14:dataValidation type="list" allowBlank="1" showInputMessage="1" showErrorMessage="1" xr:uid="{23B4DC72-2692-4D81-96D4-C6281A4B2726}">
          <x14:formula1>
            <xm:f>'Listas desplegables'!$D$2:$D$25</xm:f>
          </x14:formula1>
          <xm:sqref>H12</xm:sqref>
        </x14:dataValidation>
        <x14:dataValidation type="list" allowBlank="1" showInputMessage="1" showErrorMessage="1" xr:uid="{D326E624-F605-4835-8685-1FDCBC6A9A9D}">
          <x14:formula1>
            <xm:f>'Listas desplegables'!$E$2:$E$61</xm:f>
          </x14:formula1>
          <xm:sqref>I12</xm:sqref>
        </x14:dataValidation>
        <x14:dataValidation type="list" allowBlank="1" showInputMessage="1" showErrorMessage="1" xr:uid="{8C11DB05-6536-4CE2-A8FA-A1BDA7FB55C8}">
          <x14:formula1>
            <xm:f>'Listas desplegables'!$F$2:$F$61</xm:f>
          </x14:formula1>
          <xm:sqref>J12</xm:sqref>
        </x14:dataValidation>
        <x14:dataValidation type="list" allowBlank="1" showInputMessage="1" showErrorMessage="1" xr:uid="{6C4D69AC-F572-4057-AA60-7FDB6920A0B9}">
          <x14:formula1>
            <xm:f>'Listas desplegables'!$G$2:$G$5</xm:f>
          </x14:formula1>
          <xm:sqref>E15:G15 M17:O18</xm:sqref>
        </x14:dataValidation>
        <x14:dataValidation type="list" allowBlank="1" showInputMessage="1" showErrorMessage="1" xr:uid="{FD27E5BC-90F4-489D-9C5B-8BB12411C490}">
          <x14:formula1>
            <xm:f>'Listas desplegables'!$H$2:$H$3</xm:f>
          </x14:formula1>
          <xm:sqref>F20:H20</xm:sqref>
        </x14:dataValidation>
        <x14:dataValidation type="list" allowBlank="1" showInputMessage="1" showErrorMessage="1" xr:uid="{E2F8D3A7-72F7-4D6C-9C65-7CF92625916F}">
          <x14:formula1>
            <xm:f>'Listas desplegables'!$I$2:$I$40</xm:f>
          </x14:formula1>
          <xm:sqref>K20:M20</xm:sqref>
        </x14:dataValidation>
        <x14:dataValidation type="list" allowBlank="1" showInputMessage="1" showErrorMessage="1" xr:uid="{CE7DC18A-46D3-426C-8D53-07CF9CDA2D5E}">
          <x14:formula1>
            <xm:f>'Listas desplegables'!$J$2:$J$4</xm:f>
          </x14:formula1>
          <xm:sqref>D8:E8</xm:sqref>
        </x14:dataValidation>
        <x14:dataValidation type="list" allowBlank="1" showInputMessage="1" showErrorMessage="1" xr:uid="{BBA4F594-B853-4CFA-AFDA-A5987A8875D3}">
          <x14:formula1>
            <xm:f>'Listas desplegables'!$P$3:$P$2554</xm:f>
          </x14:formula1>
          <xm:sqref>D5:E5</xm:sqref>
        </x14:dataValidation>
        <x14:dataValidation type="list" allowBlank="1" showInputMessage="1" showErrorMessage="1" xr:uid="{6657ADB5-1ECF-4188-B569-1BED04F887AC}">
          <x14:formula1>
            <xm:f>'Listas desplegables'!$L$2:$L$5</xm:f>
          </x14:formula1>
          <xm:sqref>P23:P41</xm:sqref>
        </x14:dataValidation>
        <x14:dataValidation type="list" allowBlank="1" showInputMessage="1" showErrorMessage="1" xr:uid="{C061E6C6-0817-4D6A-B850-E5F7E3C799C1}">
          <x14:formula1>
            <xm:f>'Listas desplegables'!$K$2:$K$7</xm:f>
          </x14:formula1>
          <xm:sqref>Q23:Q41</xm:sqref>
        </x14:dataValidation>
        <x14:dataValidation type="list" allowBlank="1" showInputMessage="1" showErrorMessage="1" xr:uid="{46DE5187-57E3-4DFA-ABAF-1D4142E915A1}">
          <x14:formula1>
            <xm:f>'Listas desplegables'!$Q$2:$Q$36</xm:f>
          </x14:formula1>
          <xm:sqref>J23:J41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4F0DF-6AB0-4A42-9668-8FB085140D61}">
  <sheetPr codeName="Hoja8"/>
  <dimension ref="A1:XFD92"/>
  <sheetViews>
    <sheetView showGridLines="0" tabSelected="1" zoomScale="40" zoomScaleNormal="40" workbookViewId="0">
      <selection activeCell="F17" sqref="F17:H17"/>
    </sheetView>
  </sheetViews>
  <sheetFormatPr baseColWidth="10" defaultRowHeight="15" x14ac:dyDescent="0.25"/>
  <cols>
    <col min="4" max="4" width="31.42578125" customWidth="1"/>
    <col min="5" max="5" width="13.42578125" customWidth="1"/>
    <col min="6" max="6" width="19.5703125" customWidth="1"/>
    <col min="8" max="8" width="30.140625" customWidth="1"/>
    <col min="9" max="9" width="17.42578125" customWidth="1"/>
    <col min="10" max="10" width="23" customWidth="1"/>
    <col min="11" max="11" width="21" customWidth="1"/>
    <col min="12" max="12" width="56.140625" customWidth="1"/>
    <col min="13" max="13" width="15" customWidth="1"/>
    <col min="14" max="14" width="28.42578125" customWidth="1"/>
    <col min="15" max="15" width="22.85546875" customWidth="1"/>
    <col min="16" max="16" width="60.140625" bestFit="1" customWidth="1"/>
    <col min="17" max="17" width="28.85546875" customWidth="1"/>
    <col min="18" max="18" width="16.42578125" customWidth="1"/>
    <col min="19" max="19" width="15.42578125" customWidth="1"/>
    <col min="20" max="20" width="17.140625" customWidth="1"/>
    <col min="16384" max="16384" width="59.85546875" bestFit="1" customWidth="1"/>
  </cols>
  <sheetData>
    <row r="1" spans="1:21 16383:16384" ht="75" x14ac:dyDescent="0.25">
      <c r="A1" s="9"/>
      <c r="B1" s="40"/>
      <c r="C1" s="40"/>
      <c r="D1" s="40"/>
      <c r="E1" s="40"/>
      <c r="F1" s="40"/>
      <c r="G1" s="40"/>
      <c r="H1" s="40"/>
      <c r="I1" s="40"/>
      <c r="J1" s="40"/>
      <c r="K1" s="40"/>
      <c r="L1" s="40"/>
      <c r="M1" s="40"/>
      <c r="N1" s="40"/>
      <c r="O1" s="40"/>
      <c r="P1" s="40"/>
      <c r="Q1" s="40"/>
      <c r="R1" s="40"/>
      <c r="S1" s="40"/>
      <c r="T1" s="40"/>
      <c r="U1" s="9"/>
      <c r="XFC1" s="29" t="s">
        <v>1</v>
      </c>
      <c r="XFD1" s="28" t="s">
        <v>2</v>
      </c>
    </row>
    <row r="2" spans="1:21 16383:16384" x14ac:dyDescent="0.25">
      <c r="A2" s="10"/>
      <c r="B2" s="41"/>
      <c r="C2" s="41"/>
      <c r="D2" s="41"/>
      <c r="E2" s="41"/>
      <c r="F2" s="41"/>
      <c r="G2" s="41"/>
      <c r="H2" s="41"/>
      <c r="I2" s="41"/>
      <c r="J2" s="41"/>
      <c r="K2" s="41"/>
      <c r="L2" s="41"/>
      <c r="M2" s="41"/>
      <c r="N2" s="41"/>
      <c r="O2" s="41"/>
      <c r="P2" s="41"/>
      <c r="Q2" s="41"/>
      <c r="R2" s="41"/>
      <c r="S2" s="41"/>
      <c r="T2" s="41"/>
      <c r="U2" s="10"/>
      <c r="XFC2" s="42" t="s">
        <v>107</v>
      </c>
      <c r="XFD2" t="s">
        <v>22</v>
      </c>
    </row>
    <row r="3" spans="1:21 16383:16384" x14ac:dyDescent="0.25">
      <c r="A3" s="10"/>
      <c r="B3" s="41"/>
      <c r="C3" s="41"/>
      <c r="D3" s="41"/>
      <c r="E3" s="41"/>
      <c r="F3" s="41"/>
      <c r="G3" s="41"/>
      <c r="H3" s="41"/>
      <c r="I3" s="41"/>
      <c r="J3" s="41"/>
      <c r="K3" s="41"/>
      <c r="L3" s="41"/>
      <c r="M3" s="41"/>
      <c r="N3" s="41"/>
      <c r="O3" s="41"/>
      <c r="P3" s="41"/>
      <c r="Q3" s="41"/>
      <c r="R3" s="41"/>
      <c r="S3" s="41"/>
      <c r="T3" s="41"/>
      <c r="U3" s="10"/>
      <c r="XFC3" s="42" t="s">
        <v>108</v>
      </c>
      <c r="XFD3" t="s">
        <v>24</v>
      </c>
    </row>
    <row r="4" spans="1:21 16383:16384" x14ac:dyDescent="0.25">
      <c r="A4" s="10"/>
      <c r="B4" s="41"/>
      <c r="C4" s="41"/>
      <c r="D4" s="93" t="s">
        <v>1580</v>
      </c>
      <c r="E4" s="41"/>
      <c r="F4" s="41"/>
      <c r="G4" s="41"/>
      <c r="H4" s="41"/>
      <c r="I4" s="41"/>
      <c r="J4" s="41"/>
      <c r="K4" s="41"/>
      <c r="L4" s="41"/>
      <c r="M4" s="41"/>
      <c r="N4" s="41"/>
      <c r="O4" s="41"/>
      <c r="P4" s="41"/>
      <c r="Q4" s="41"/>
      <c r="R4" s="41"/>
      <c r="S4" s="41"/>
      <c r="T4" s="41"/>
      <c r="U4" s="10"/>
      <c r="XFD4" t="s">
        <v>1796</v>
      </c>
    </row>
    <row r="5" spans="1:21 16383:16384" x14ac:dyDescent="0.25">
      <c r="A5" s="10"/>
      <c r="B5" s="41"/>
      <c r="C5" s="41"/>
      <c r="D5" s="203"/>
      <c r="E5" s="204"/>
      <c r="F5" s="41"/>
      <c r="G5" s="41"/>
      <c r="H5" s="41"/>
      <c r="I5" s="41"/>
      <c r="J5" s="41"/>
      <c r="K5" s="41"/>
      <c r="L5" s="41"/>
      <c r="M5" s="41"/>
      <c r="N5" s="41"/>
      <c r="O5" s="41"/>
      <c r="P5" s="41"/>
      <c r="Q5" s="41"/>
      <c r="R5" s="41"/>
      <c r="S5" s="41"/>
      <c r="T5" s="41"/>
      <c r="U5" s="10"/>
      <c r="XFD5" t="s">
        <v>45</v>
      </c>
    </row>
    <row r="6" spans="1:21 16383:16384" x14ac:dyDescent="0.25">
      <c r="A6" s="10"/>
      <c r="B6" s="7"/>
      <c r="C6" s="7"/>
      <c r="D6" s="7"/>
      <c r="E6" s="7"/>
      <c r="F6" s="7"/>
      <c r="G6" s="7"/>
      <c r="H6" s="7"/>
      <c r="I6" s="7"/>
      <c r="J6" s="7"/>
      <c r="K6" s="7"/>
      <c r="L6" s="7"/>
      <c r="M6" s="7"/>
      <c r="N6" s="7"/>
      <c r="O6" s="7"/>
      <c r="P6" s="7"/>
      <c r="Q6" s="7"/>
      <c r="R6" s="7"/>
      <c r="S6" s="7"/>
      <c r="T6" s="7"/>
      <c r="U6" s="10"/>
      <c r="XFD6" t="s">
        <v>1797</v>
      </c>
    </row>
    <row r="7" spans="1:21 16383:16384" x14ac:dyDescent="0.25">
      <c r="A7" s="10"/>
      <c r="B7" s="7"/>
      <c r="C7" s="7"/>
      <c r="D7" s="220" t="s">
        <v>52</v>
      </c>
      <c r="E7" s="220"/>
      <c r="F7" s="220"/>
      <c r="G7" s="7"/>
      <c r="H7" s="187" t="s">
        <v>53</v>
      </c>
      <c r="I7" s="187"/>
      <c r="J7" s="187"/>
      <c r="K7" s="8"/>
      <c r="L7" s="187" t="s">
        <v>54</v>
      </c>
      <c r="M7" s="187"/>
      <c r="N7" s="187"/>
      <c r="O7" s="8"/>
      <c r="P7" s="205" t="s">
        <v>74</v>
      </c>
      <c r="Q7" s="7"/>
      <c r="R7" s="240" t="s">
        <v>1863</v>
      </c>
      <c r="T7" s="240" t="s">
        <v>1850</v>
      </c>
      <c r="U7" s="10"/>
    </row>
    <row r="8" spans="1:21 16383:16384" x14ac:dyDescent="0.25">
      <c r="A8" s="10"/>
      <c r="B8" s="7"/>
      <c r="C8" s="7"/>
      <c r="D8" s="133" t="s">
        <v>166</v>
      </c>
      <c r="E8" s="133" t="s">
        <v>167</v>
      </c>
      <c r="F8" s="133" t="s">
        <v>168</v>
      </c>
      <c r="G8" s="7"/>
      <c r="H8" s="125" t="s">
        <v>169</v>
      </c>
      <c r="I8" s="125" t="s">
        <v>170</v>
      </c>
      <c r="J8" s="125" t="s">
        <v>171</v>
      </c>
      <c r="K8" s="8"/>
      <c r="L8" s="125" t="s">
        <v>166</v>
      </c>
      <c r="M8" s="125" t="s">
        <v>167</v>
      </c>
      <c r="N8" s="125" t="s">
        <v>168</v>
      </c>
      <c r="O8" s="8"/>
      <c r="P8" s="239"/>
      <c r="Q8" s="7"/>
      <c r="R8" s="241"/>
      <c r="T8" s="241"/>
      <c r="U8" s="10"/>
    </row>
    <row r="9" spans="1:21 16383:16384" x14ac:dyDescent="0.25">
      <c r="A9" s="10"/>
      <c r="B9" s="7"/>
      <c r="C9" s="7"/>
      <c r="D9" s="85"/>
      <c r="E9" s="86"/>
      <c r="F9" s="87"/>
      <c r="G9" s="6"/>
      <c r="H9" s="43"/>
      <c r="I9" s="44"/>
      <c r="J9" s="48"/>
      <c r="K9" s="7"/>
      <c r="L9" s="43"/>
      <c r="M9" s="44"/>
      <c r="N9" s="48"/>
      <c r="O9" s="7"/>
      <c r="P9" s="163"/>
      <c r="Q9" s="162"/>
      <c r="R9" s="161"/>
      <c r="T9" s="163"/>
      <c r="U9" s="10"/>
    </row>
    <row r="10" spans="1:21 16383:16384" x14ac:dyDescent="0.25">
      <c r="A10" s="10"/>
      <c r="B10" s="7"/>
      <c r="C10" s="7"/>
      <c r="D10" s="7"/>
      <c r="E10" s="7"/>
      <c r="F10" s="7"/>
      <c r="G10" s="7"/>
      <c r="H10" s="7"/>
      <c r="I10" s="7"/>
      <c r="J10" s="7"/>
      <c r="K10" s="7"/>
      <c r="L10" s="7"/>
      <c r="M10" s="7"/>
      <c r="N10" s="7"/>
      <c r="O10" s="7"/>
      <c r="P10" s="7"/>
      <c r="Q10" s="7"/>
      <c r="R10" s="7"/>
      <c r="S10" s="7"/>
      <c r="T10" s="7"/>
      <c r="U10" s="10"/>
    </row>
    <row r="11" spans="1:21 16383:16384" x14ac:dyDescent="0.25">
      <c r="A11" s="10"/>
      <c r="B11" s="7"/>
      <c r="C11" s="7"/>
      <c r="D11" s="183" t="s">
        <v>1537</v>
      </c>
      <c r="E11" s="183"/>
      <c r="F11" s="183"/>
      <c r="G11" s="221"/>
      <c r="H11" s="221"/>
      <c r="I11" s="221"/>
      <c r="J11" s="221"/>
      <c r="K11" s="221"/>
      <c r="L11" s="221"/>
      <c r="M11" s="221"/>
      <c r="N11" s="222"/>
      <c r="O11" s="224" t="s">
        <v>1538</v>
      </c>
      <c r="P11" s="225"/>
      <c r="Q11" s="223"/>
      <c r="R11" s="181"/>
      <c r="S11" s="181"/>
      <c r="T11" s="182"/>
      <c r="U11" s="10"/>
    </row>
    <row r="12" spans="1:21 16383:16384" x14ac:dyDescent="0.25">
      <c r="A12" s="10"/>
      <c r="B12" s="7"/>
      <c r="C12" s="7"/>
      <c r="D12" s="126" t="s">
        <v>1539</v>
      </c>
      <c r="E12" s="188"/>
      <c r="F12" s="181"/>
      <c r="G12" s="181"/>
      <c r="H12" s="102" t="s">
        <v>1540</v>
      </c>
      <c r="I12" s="188"/>
      <c r="J12" s="181"/>
      <c r="K12" s="181"/>
      <c r="L12" s="102" t="s">
        <v>55</v>
      </c>
      <c r="M12" s="181"/>
      <c r="N12" s="181"/>
      <c r="O12" s="181"/>
      <c r="P12" s="126" t="s">
        <v>56</v>
      </c>
      <c r="Q12" s="181"/>
      <c r="R12" s="181"/>
      <c r="S12" s="181"/>
      <c r="T12" s="182"/>
      <c r="U12" s="10"/>
    </row>
    <row r="13" spans="1:21 16383:16384" x14ac:dyDescent="0.25">
      <c r="A13" s="10"/>
      <c r="B13" s="7"/>
      <c r="C13" s="7"/>
      <c r="D13" s="126" t="s">
        <v>1541</v>
      </c>
      <c r="E13" s="235"/>
      <c r="F13" s="235"/>
      <c r="G13" s="235"/>
      <c r="H13" s="235"/>
      <c r="I13" s="235"/>
      <c r="J13" s="235"/>
      <c r="K13" s="102" t="s">
        <v>1542</v>
      </c>
      <c r="L13" s="181"/>
      <c r="M13" s="182"/>
      <c r="N13" s="102" t="s">
        <v>1543</v>
      </c>
      <c r="O13" s="181"/>
      <c r="P13" s="182"/>
      <c r="Q13" s="102" t="s">
        <v>57</v>
      </c>
      <c r="R13" s="181"/>
      <c r="S13" s="181"/>
      <c r="T13" s="182"/>
      <c r="U13" s="10"/>
    </row>
    <row r="14" spans="1:21 16383:16384" x14ac:dyDescent="0.25">
      <c r="A14" s="10"/>
      <c r="B14" s="7"/>
      <c r="C14" s="7"/>
      <c r="D14" s="183" t="s">
        <v>58</v>
      </c>
      <c r="E14" s="183"/>
      <c r="F14" s="181"/>
      <c r="G14" s="181"/>
      <c r="H14" s="181"/>
      <c r="I14" s="181"/>
      <c r="J14" s="181"/>
      <c r="K14" s="182"/>
      <c r="L14" s="134" t="s">
        <v>89</v>
      </c>
      <c r="M14" s="181"/>
      <c r="N14" s="181"/>
      <c r="O14" s="182"/>
      <c r="P14" s="134" t="s">
        <v>90</v>
      </c>
      <c r="Q14" s="181"/>
      <c r="R14" s="181"/>
      <c r="S14" s="181"/>
      <c r="T14" s="182"/>
      <c r="U14" s="10"/>
    </row>
    <row r="15" spans="1:21 16383:16384" x14ac:dyDescent="0.25">
      <c r="A15" s="10"/>
      <c r="B15" s="7"/>
      <c r="C15" s="7"/>
      <c r="D15" s="183" t="s">
        <v>172</v>
      </c>
      <c r="E15" s="183"/>
      <c r="F15" s="181"/>
      <c r="G15" s="181"/>
      <c r="H15" s="181"/>
      <c r="I15" s="181"/>
      <c r="J15" s="181"/>
      <c r="K15" s="182"/>
      <c r="L15" s="134" t="s">
        <v>173</v>
      </c>
      <c r="M15" s="181"/>
      <c r="N15" s="181"/>
      <c r="O15" s="208"/>
      <c r="P15" s="134" t="s">
        <v>174</v>
      </c>
      <c r="Q15" s="207"/>
      <c r="R15" s="207"/>
      <c r="S15" s="207"/>
      <c r="T15" s="208"/>
      <c r="U15" s="10"/>
    </row>
    <row r="16" spans="1:21 16383:16384" x14ac:dyDescent="0.25">
      <c r="A16" s="10"/>
      <c r="B16" s="7"/>
      <c r="C16" s="7"/>
      <c r="D16" s="183" t="s">
        <v>1545</v>
      </c>
      <c r="E16" s="183"/>
      <c r="F16" s="181"/>
      <c r="G16" s="181"/>
      <c r="H16" s="181"/>
      <c r="I16" s="102" t="s">
        <v>1544</v>
      </c>
      <c r="J16" s="181"/>
      <c r="K16" s="181"/>
      <c r="L16" s="181"/>
      <c r="M16" s="181"/>
      <c r="N16" s="234" t="str">
        <f>IF(J16="Crédito","DÍAS DE COBRO*","DÍAS DE COBRO")</f>
        <v>DÍAS DE COBRO</v>
      </c>
      <c r="O16" s="234"/>
      <c r="P16" s="171"/>
      <c r="Q16" s="102" t="s">
        <v>1849</v>
      </c>
      <c r="R16" s="236"/>
      <c r="S16" s="237"/>
      <c r="T16" s="238"/>
      <c r="U16" s="10"/>
    </row>
    <row r="17" spans="1:21" x14ac:dyDescent="0.25">
      <c r="A17" s="10"/>
      <c r="B17" s="7"/>
      <c r="C17" s="7"/>
      <c r="D17" s="183" t="s">
        <v>1546</v>
      </c>
      <c r="E17" s="183"/>
      <c r="F17" s="181"/>
      <c r="G17" s="181"/>
      <c r="H17" s="181"/>
      <c r="I17" s="183" t="str">
        <f>IF(F17="Persona jurídica","RESPONSABILIDAD FISCAL*","RESPONSABILIDAD FISCAL")</f>
        <v>RESPONSABILIDAD FISCAL</v>
      </c>
      <c r="J17" s="183"/>
      <c r="K17" s="181"/>
      <c r="L17" s="181"/>
      <c r="M17" s="181"/>
      <c r="N17" s="234" t="s">
        <v>1848</v>
      </c>
      <c r="O17" s="234"/>
      <c r="P17" s="242"/>
      <c r="Q17" s="242"/>
      <c r="R17" s="242"/>
      <c r="S17" s="242"/>
      <c r="T17" s="243"/>
      <c r="U17" s="10"/>
    </row>
    <row r="18" spans="1:21" x14ac:dyDescent="0.25">
      <c r="A18" s="10"/>
      <c r="B18" s="7"/>
      <c r="C18" s="7"/>
      <c r="D18" s="7"/>
      <c r="E18" s="7"/>
      <c r="F18" s="7"/>
      <c r="G18" s="7"/>
      <c r="H18" s="7"/>
      <c r="I18" s="7"/>
      <c r="J18" s="7"/>
      <c r="K18" s="7"/>
      <c r="L18" s="7"/>
      <c r="M18" s="7"/>
      <c r="N18" s="7"/>
      <c r="O18" s="41"/>
      <c r="P18" s="41"/>
      <c r="Q18" s="41"/>
      <c r="R18" s="41"/>
      <c r="S18" s="41"/>
      <c r="T18" s="7"/>
      <c r="U18" s="10"/>
    </row>
    <row r="19" spans="1:21" x14ac:dyDescent="0.25">
      <c r="A19" s="10"/>
      <c r="B19" s="7"/>
      <c r="C19" s="7"/>
      <c r="D19" s="232" t="s">
        <v>1592</v>
      </c>
      <c r="E19" s="226"/>
      <c r="F19" s="227"/>
      <c r="G19" s="227"/>
      <c r="H19" s="227"/>
      <c r="I19" s="227"/>
      <c r="J19" s="227"/>
      <c r="K19" s="227"/>
      <c r="L19" s="228"/>
      <c r="M19" s="7"/>
      <c r="N19" s="7"/>
      <c r="O19" s="41"/>
      <c r="P19" s="41"/>
      <c r="Q19" s="41"/>
      <c r="R19" s="41"/>
      <c r="S19" s="41"/>
      <c r="T19" s="7"/>
      <c r="U19" s="10"/>
    </row>
    <row r="20" spans="1:21" x14ac:dyDescent="0.25">
      <c r="A20" s="10"/>
      <c r="B20" s="7"/>
      <c r="C20" s="7"/>
      <c r="D20" s="233"/>
      <c r="E20" s="229"/>
      <c r="F20" s="230"/>
      <c r="G20" s="230"/>
      <c r="H20" s="230"/>
      <c r="I20" s="230"/>
      <c r="J20" s="230"/>
      <c r="K20" s="230"/>
      <c r="L20" s="231"/>
      <c r="M20" s="7"/>
      <c r="N20" s="7"/>
      <c r="O20" s="41"/>
      <c r="P20" s="41"/>
      <c r="Q20" s="41"/>
      <c r="R20" s="41"/>
      <c r="S20" s="41"/>
      <c r="T20" s="7"/>
      <c r="U20" s="10"/>
    </row>
    <row r="21" spans="1:21" x14ac:dyDescent="0.25">
      <c r="A21" s="10"/>
      <c r="N21" s="132"/>
      <c r="O21" s="132"/>
      <c r="U21" s="10"/>
    </row>
    <row r="22" spans="1:21" ht="45" x14ac:dyDescent="0.25">
      <c r="A22" s="10"/>
      <c r="D22" s="135" t="s">
        <v>59</v>
      </c>
      <c r="E22" s="136" t="s">
        <v>1547</v>
      </c>
      <c r="F22" s="137" t="s">
        <v>1548</v>
      </c>
      <c r="G22" s="138" t="str">
        <f>IF(D5="Productos","Bodega*","Bodega")</f>
        <v>Bodega</v>
      </c>
      <c r="H22" s="138" t="s">
        <v>1837</v>
      </c>
      <c r="I22" s="139" t="s">
        <v>1844</v>
      </c>
      <c r="J22" s="138" t="s">
        <v>1838</v>
      </c>
      <c r="K22" s="138" t="s">
        <v>1549</v>
      </c>
      <c r="L22" s="138" t="s">
        <v>1550</v>
      </c>
      <c r="M22" s="138" t="s">
        <v>1551</v>
      </c>
      <c r="N22" s="138" t="s">
        <v>5</v>
      </c>
      <c r="O22" s="138" t="s">
        <v>1846</v>
      </c>
      <c r="P22" s="166" t="s">
        <v>1553</v>
      </c>
      <c r="Q22" s="138" t="s">
        <v>2934</v>
      </c>
      <c r="R22" s="138" t="s">
        <v>6</v>
      </c>
      <c r="S22" s="140" t="s">
        <v>1554</v>
      </c>
      <c r="T22" s="141" t="s">
        <v>1555</v>
      </c>
      <c r="U22" s="10"/>
    </row>
    <row r="23" spans="1:21" x14ac:dyDescent="0.25">
      <c r="A23" s="10"/>
      <c r="D23" s="56" t="s">
        <v>91</v>
      </c>
      <c r="E23" s="60" t="s">
        <v>188</v>
      </c>
      <c r="F23" s="128"/>
      <c r="G23" s="90"/>
      <c r="H23" s="64"/>
      <c r="I23" s="120"/>
      <c r="J23" s="64"/>
      <c r="K23" s="64"/>
      <c r="L23" s="90"/>
      <c r="M23" s="109"/>
      <c r="N23" s="35" t="str">
        <f>IF(AND(K23="",M23=""),"",M23*K23)</f>
        <v/>
      </c>
      <c r="O23" s="164"/>
      <c r="P23" s="168"/>
      <c r="Q23" s="116"/>
      <c r="R23" s="37" t="str">
        <f>IF(AND(N23="",O23="",P23="",Q23=""),"",N23-O23+P23+Q23)</f>
        <v/>
      </c>
      <c r="S23" s="77"/>
      <c r="T23" s="78"/>
      <c r="U23" s="10"/>
    </row>
    <row r="24" spans="1:21" x14ac:dyDescent="0.25">
      <c r="A24" s="10"/>
      <c r="D24" s="57">
        <f>D23+1</f>
        <v>2</v>
      </c>
      <c r="E24" s="66"/>
      <c r="F24" s="129"/>
      <c r="G24" s="6"/>
      <c r="H24" s="67"/>
      <c r="I24" s="131"/>
      <c r="J24" s="67"/>
      <c r="K24" s="67"/>
      <c r="L24" s="89"/>
      <c r="M24" s="110"/>
      <c r="N24" s="112" t="str">
        <f t="shared" ref="N24:N72" si="0">IF(AND(K24="",M24=""),"",M24*K24)</f>
        <v/>
      </c>
      <c r="O24" s="165"/>
      <c r="P24" s="169"/>
      <c r="Q24" s="117"/>
      <c r="R24" s="114" t="str">
        <f t="shared" ref="R24:R72" si="1">IF(AND(N24="",O24="",P24="",Q24=""),"",N24-O24+P24+Q24)</f>
        <v/>
      </c>
      <c r="S24" s="79"/>
      <c r="T24" s="80"/>
      <c r="U24" s="10"/>
    </row>
    <row r="25" spans="1:21" x14ac:dyDescent="0.25">
      <c r="A25" s="10"/>
      <c r="D25" s="58">
        <f t="shared" ref="D25:D71" si="2">D24+1</f>
        <v>3</v>
      </c>
      <c r="E25" s="66"/>
      <c r="F25" s="129"/>
      <c r="G25" s="6"/>
      <c r="H25" s="67"/>
      <c r="I25" s="131"/>
      <c r="J25" s="67"/>
      <c r="K25" s="67"/>
      <c r="L25" s="89"/>
      <c r="M25" s="110"/>
      <c r="N25" s="112" t="str">
        <f t="shared" si="0"/>
        <v/>
      </c>
      <c r="O25" s="165"/>
      <c r="P25" s="169"/>
      <c r="Q25" s="117"/>
      <c r="R25" s="114" t="str">
        <f t="shared" si="1"/>
        <v/>
      </c>
      <c r="S25" s="79"/>
      <c r="T25" s="80"/>
      <c r="U25" s="10"/>
    </row>
    <row r="26" spans="1:21" x14ac:dyDescent="0.25">
      <c r="A26" s="10"/>
      <c r="D26" s="58">
        <f t="shared" si="2"/>
        <v>4</v>
      </c>
      <c r="E26" s="66"/>
      <c r="F26" s="129"/>
      <c r="G26" s="6"/>
      <c r="H26" s="67"/>
      <c r="I26" s="131"/>
      <c r="J26" s="67"/>
      <c r="K26" s="67"/>
      <c r="L26" s="89"/>
      <c r="M26" s="110"/>
      <c r="N26" s="112" t="str">
        <f t="shared" si="0"/>
        <v/>
      </c>
      <c r="O26" s="165"/>
      <c r="P26" s="169"/>
      <c r="Q26" s="117"/>
      <c r="R26" s="114" t="str">
        <f t="shared" si="1"/>
        <v/>
      </c>
      <c r="S26" s="79"/>
      <c r="T26" s="80"/>
      <c r="U26" s="10"/>
    </row>
    <row r="27" spans="1:21" x14ac:dyDescent="0.25">
      <c r="A27" s="10"/>
      <c r="D27" s="58">
        <f t="shared" si="2"/>
        <v>5</v>
      </c>
      <c r="E27" s="66"/>
      <c r="F27" s="129"/>
      <c r="G27" s="6"/>
      <c r="H27" s="67"/>
      <c r="I27" s="131"/>
      <c r="J27" s="67"/>
      <c r="K27" s="67"/>
      <c r="L27" s="89"/>
      <c r="M27" s="110"/>
      <c r="N27" s="112" t="str">
        <f t="shared" si="0"/>
        <v/>
      </c>
      <c r="O27" s="165"/>
      <c r="P27" s="169"/>
      <c r="Q27" s="117"/>
      <c r="R27" s="114" t="str">
        <f t="shared" si="1"/>
        <v/>
      </c>
      <c r="S27" s="79"/>
      <c r="T27" s="80"/>
      <c r="U27" s="10"/>
    </row>
    <row r="28" spans="1:21" x14ac:dyDescent="0.25">
      <c r="A28" s="10"/>
      <c r="D28" s="58">
        <f t="shared" si="2"/>
        <v>6</v>
      </c>
      <c r="E28" s="66"/>
      <c r="F28" s="129"/>
      <c r="G28" s="6"/>
      <c r="H28" s="67"/>
      <c r="I28" s="131"/>
      <c r="J28" s="67"/>
      <c r="K28" s="67"/>
      <c r="L28" s="89"/>
      <c r="M28" s="110"/>
      <c r="N28" s="112" t="str">
        <f t="shared" si="0"/>
        <v/>
      </c>
      <c r="O28" s="165"/>
      <c r="P28" s="169"/>
      <c r="Q28" s="117"/>
      <c r="R28" s="114" t="str">
        <f t="shared" si="1"/>
        <v/>
      </c>
      <c r="S28" s="79"/>
      <c r="T28" s="80"/>
      <c r="U28" s="10"/>
    </row>
    <row r="29" spans="1:21" x14ac:dyDescent="0.25">
      <c r="A29" s="10"/>
      <c r="D29" s="58">
        <f t="shared" si="2"/>
        <v>7</v>
      </c>
      <c r="E29" s="66"/>
      <c r="F29" s="129"/>
      <c r="G29" s="6"/>
      <c r="H29" s="67"/>
      <c r="I29" s="131"/>
      <c r="J29" s="67"/>
      <c r="K29" s="67"/>
      <c r="L29" s="89"/>
      <c r="M29" s="110"/>
      <c r="N29" s="112" t="str">
        <f t="shared" si="0"/>
        <v/>
      </c>
      <c r="O29" s="165"/>
      <c r="P29" s="169"/>
      <c r="Q29" s="117"/>
      <c r="R29" s="114" t="str">
        <f t="shared" si="1"/>
        <v/>
      </c>
      <c r="S29" s="79"/>
      <c r="T29" s="80"/>
      <c r="U29" s="10"/>
    </row>
    <row r="30" spans="1:21" x14ac:dyDescent="0.25">
      <c r="A30" s="10"/>
      <c r="D30" s="58">
        <f t="shared" si="2"/>
        <v>8</v>
      </c>
      <c r="E30" s="66"/>
      <c r="F30" s="129"/>
      <c r="G30" s="6"/>
      <c r="H30" s="67"/>
      <c r="I30" s="131"/>
      <c r="J30" s="67"/>
      <c r="K30" s="67"/>
      <c r="L30" s="89"/>
      <c r="M30" s="110"/>
      <c r="N30" s="112" t="str">
        <f t="shared" si="0"/>
        <v/>
      </c>
      <c r="O30" s="165"/>
      <c r="P30" s="169"/>
      <c r="Q30" s="117"/>
      <c r="R30" s="114" t="str">
        <f t="shared" si="1"/>
        <v/>
      </c>
      <c r="S30" s="79"/>
      <c r="T30" s="80"/>
      <c r="U30" s="10"/>
    </row>
    <row r="31" spans="1:21" x14ac:dyDescent="0.25">
      <c r="A31" s="10"/>
      <c r="D31" s="58">
        <f t="shared" si="2"/>
        <v>9</v>
      </c>
      <c r="E31" s="66"/>
      <c r="F31" s="129"/>
      <c r="G31" s="6"/>
      <c r="H31" s="67"/>
      <c r="I31" s="131"/>
      <c r="J31" s="67"/>
      <c r="K31" s="67"/>
      <c r="L31" s="89"/>
      <c r="M31" s="110"/>
      <c r="N31" s="112" t="str">
        <f t="shared" si="0"/>
        <v/>
      </c>
      <c r="O31" s="165"/>
      <c r="P31" s="169"/>
      <c r="Q31" s="117"/>
      <c r="R31" s="114" t="str">
        <f t="shared" si="1"/>
        <v/>
      </c>
      <c r="S31" s="79"/>
      <c r="T31" s="80"/>
      <c r="U31" s="10"/>
    </row>
    <row r="32" spans="1:21" x14ac:dyDescent="0.25">
      <c r="A32" s="10"/>
      <c r="D32" s="58">
        <f t="shared" si="2"/>
        <v>10</v>
      </c>
      <c r="E32" s="66"/>
      <c r="F32" s="129"/>
      <c r="G32" s="6"/>
      <c r="H32" s="67"/>
      <c r="I32" s="131"/>
      <c r="J32" s="67"/>
      <c r="K32" s="67"/>
      <c r="L32" s="89"/>
      <c r="M32" s="110"/>
      <c r="N32" s="112" t="str">
        <f t="shared" si="0"/>
        <v/>
      </c>
      <c r="O32" s="165"/>
      <c r="P32" s="169"/>
      <c r="Q32" s="117"/>
      <c r="R32" s="114" t="str">
        <f t="shared" si="1"/>
        <v/>
      </c>
      <c r="S32" s="79"/>
      <c r="T32" s="80"/>
      <c r="U32" s="10"/>
    </row>
    <row r="33" spans="1:21" x14ac:dyDescent="0.25">
      <c r="A33" s="10"/>
      <c r="D33" s="58">
        <f t="shared" si="2"/>
        <v>11</v>
      </c>
      <c r="E33" s="66"/>
      <c r="F33" s="129"/>
      <c r="G33" s="6"/>
      <c r="H33" s="67"/>
      <c r="I33" s="131"/>
      <c r="J33" s="67"/>
      <c r="K33" s="67"/>
      <c r="L33" s="89"/>
      <c r="M33" s="110"/>
      <c r="N33" s="112" t="str">
        <f t="shared" si="0"/>
        <v/>
      </c>
      <c r="O33" s="165"/>
      <c r="P33" s="169"/>
      <c r="Q33" s="117"/>
      <c r="R33" s="114" t="str">
        <f t="shared" si="1"/>
        <v/>
      </c>
      <c r="S33" s="79"/>
      <c r="T33" s="80"/>
      <c r="U33" s="10"/>
    </row>
    <row r="34" spans="1:21" x14ac:dyDescent="0.25">
      <c r="A34" s="10"/>
      <c r="D34" s="58">
        <f t="shared" si="2"/>
        <v>12</v>
      </c>
      <c r="E34" s="66"/>
      <c r="F34" s="129"/>
      <c r="G34" s="6"/>
      <c r="H34" s="67"/>
      <c r="I34" s="131"/>
      <c r="J34" s="67"/>
      <c r="K34" s="67"/>
      <c r="L34" s="89"/>
      <c r="M34" s="110"/>
      <c r="N34" s="112" t="str">
        <f t="shared" si="0"/>
        <v/>
      </c>
      <c r="O34" s="165"/>
      <c r="P34" s="169"/>
      <c r="Q34" s="117"/>
      <c r="R34" s="114" t="str">
        <f t="shared" si="1"/>
        <v/>
      </c>
      <c r="S34" s="79"/>
      <c r="T34" s="80"/>
      <c r="U34" s="10"/>
    </row>
    <row r="35" spans="1:21" x14ac:dyDescent="0.25">
      <c r="A35" s="10"/>
      <c r="D35" s="58">
        <f t="shared" si="2"/>
        <v>13</v>
      </c>
      <c r="E35" s="66"/>
      <c r="F35" s="129"/>
      <c r="G35" s="6"/>
      <c r="H35" s="67"/>
      <c r="I35" s="131"/>
      <c r="J35" s="67"/>
      <c r="K35" s="67"/>
      <c r="L35" s="89"/>
      <c r="M35" s="110"/>
      <c r="N35" s="112" t="str">
        <f t="shared" si="0"/>
        <v/>
      </c>
      <c r="O35" s="165"/>
      <c r="P35" s="169"/>
      <c r="Q35" s="117"/>
      <c r="R35" s="114" t="str">
        <f t="shared" si="1"/>
        <v/>
      </c>
      <c r="S35" s="79"/>
      <c r="T35" s="80"/>
      <c r="U35" s="10"/>
    </row>
    <row r="36" spans="1:21" x14ac:dyDescent="0.25">
      <c r="A36" s="10"/>
      <c r="D36" s="58">
        <f t="shared" si="2"/>
        <v>14</v>
      </c>
      <c r="E36" s="66"/>
      <c r="F36" s="129"/>
      <c r="G36" s="6"/>
      <c r="H36" s="67"/>
      <c r="I36" s="131"/>
      <c r="J36" s="67"/>
      <c r="K36" s="67"/>
      <c r="L36" s="89"/>
      <c r="M36" s="110"/>
      <c r="N36" s="112" t="str">
        <f t="shared" si="0"/>
        <v/>
      </c>
      <c r="O36" s="165"/>
      <c r="P36" s="169"/>
      <c r="Q36" s="117"/>
      <c r="R36" s="114" t="str">
        <f t="shared" si="1"/>
        <v/>
      </c>
      <c r="S36" s="79"/>
      <c r="T36" s="80"/>
      <c r="U36" s="10"/>
    </row>
    <row r="37" spans="1:21" x14ac:dyDescent="0.25">
      <c r="A37" s="10"/>
      <c r="D37" s="58">
        <f t="shared" si="2"/>
        <v>15</v>
      </c>
      <c r="E37" s="66"/>
      <c r="F37" s="129"/>
      <c r="G37" s="6"/>
      <c r="H37" s="67"/>
      <c r="I37" s="131"/>
      <c r="J37" s="67"/>
      <c r="K37" s="67"/>
      <c r="L37" s="89"/>
      <c r="M37" s="110"/>
      <c r="N37" s="112" t="str">
        <f t="shared" si="0"/>
        <v/>
      </c>
      <c r="O37" s="165"/>
      <c r="P37" s="169"/>
      <c r="Q37" s="117"/>
      <c r="R37" s="114" t="str">
        <f t="shared" si="1"/>
        <v/>
      </c>
      <c r="S37" s="79"/>
      <c r="T37" s="80"/>
      <c r="U37" s="10"/>
    </row>
    <row r="38" spans="1:21" x14ac:dyDescent="0.25">
      <c r="A38" s="10"/>
      <c r="D38" s="58">
        <f t="shared" si="2"/>
        <v>16</v>
      </c>
      <c r="E38" s="66"/>
      <c r="F38" s="129"/>
      <c r="G38" s="6"/>
      <c r="H38" s="67"/>
      <c r="I38" s="131"/>
      <c r="J38" s="67"/>
      <c r="K38" s="67"/>
      <c r="L38" s="89"/>
      <c r="M38" s="110"/>
      <c r="N38" s="112" t="str">
        <f t="shared" si="0"/>
        <v/>
      </c>
      <c r="O38" s="165"/>
      <c r="P38" s="169"/>
      <c r="Q38" s="117"/>
      <c r="R38" s="114" t="str">
        <f t="shared" si="1"/>
        <v/>
      </c>
      <c r="S38" s="79"/>
      <c r="T38" s="80"/>
      <c r="U38" s="10"/>
    </row>
    <row r="39" spans="1:21" x14ac:dyDescent="0.25">
      <c r="A39" s="10"/>
      <c r="D39" s="58">
        <f t="shared" si="2"/>
        <v>17</v>
      </c>
      <c r="E39" s="66"/>
      <c r="F39" s="129"/>
      <c r="G39" s="6"/>
      <c r="H39" s="67"/>
      <c r="I39" s="131"/>
      <c r="J39" s="67"/>
      <c r="K39" s="67"/>
      <c r="L39" s="89"/>
      <c r="M39" s="110"/>
      <c r="N39" s="112" t="str">
        <f t="shared" si="0"/>
        <v/>
      </c>
      <c r="O39" s="165"/>
      <c r="P39" s="169"/>
      <c r="Q39" s="117"/>
      <c r="R39" s="114" t="str">
        <f t="shared" si="1"/>
        <v/>
      </c>
      <c r="S39" s="79"/>
      <c r="T39" s="80"/>
      <c r="U39" s="10"/>
    </row>
    <row r="40" spans="1:21" x14ac:dyDescent="0.25">
      <c r="A40" s="10"/>
      <c r="D40" s="58">
        <f t="shared" si="2"/>
        <v>18</v>
      </c>
      <c r="E40" s="66"/>
      <c r="F40" s="129"/>
      <c r="G40" s="6"/>
      <c r="H40" s="67"/>
      <c r="I40" s="131"/>
      <c r="J40" s="67"/>
      <c r="K40" s="67"/>
      <c r="L40" s="89"/>
      <c r="M40" s="110"/>
      <c r="N40" s="112" t="str">
        <f t="shared" si="0"/>
        <v/>
      </c>
      <c r="O40" s="165"/>
      <c r="P40" s="169"/>
      <c r="Q40" s="117"/>
      <c r="R40" s="114" t="str">
        <f t="shared" si="1"/>
        <v/>
      </c>
      <c r="S40" s="79"/>
      <c r="T40" s="80"/>
      <c r="U40" s="10"/>
    </row>
    <row r="41" spans="1:21" x14ac:dyDescent="0.25">
      <c r="A41" s="10"/>
      <c r="D41" s="58">
        <f t="shared" si="2"/>
        <v>19</v>
      </c>
      <c r="E41" s="66"/>
      <c r="F41" s="129"/>
      <c r="G41" s="6"/>
      <c r="H41" s="67"/>
      <c r="I41" s="131"/>
      <c r="J41" s="67"/>
      <c r="K41" s="67"/>
      <c r="L41" s="89"/>
      <c r="M41" s="110"/>
      <c r="N41" s="112" t="str">
        <f t="shared" si="0"/>
        <v/>
      </c>
      <c r="O41" s="165"/>
      <c r="P41" s="169"/>
      <c r="Q41" s="117"/>
      <c r="R41" s="114" t="str">
        <f t="shared" si="1"/>
        <v/>
      </c>
      <c r="S41" s="79"/>
      <c r="T41" s="80"/>
      <c r="U41" s="10"/>
    </row>
    <row r="42" spans="1:21" x14ac:dyDescent="0.25">
      <c r="A42" s="10"/>
      <c r="D42" s="58">
        <f t="shared" si="2"/>
        <v>20</v>
      </c>
      <c r="E42" s="66"/>
      <c r="F42" s="129"/>
      <c r="G42" s="6"/>
      <c r="H42" s="67"/>
      <c r="I42" s="131"/>
      <c r="J42" s="67"/>
      <c r="K42" s="67"/>
      <c r="L42" s="89"/>
      <c r="M42" s="110"/>
      <c r="N42" s="112" t="str">
        <f t="shared" si="0"/>
        <v/>
      </c>
      <c r="O42" s="165"/>
      <c r="P42" s="169"/>
      <c r="Q42" s="117"/>
      <c r="R42" s="114" t="str">
        <f t="shared" si="1"/>
        <v/>
      </c>
      <c r="S42" s="79"/>
      <c r="T42" s="80"/>
      <c r="U42" s="10"/>
    </row>
    <row r="43" spans="1:21" x14ac:dyDescent="0.25">
      <c r="A43" s="10"/>
      <c r="D43" s="58">
        <f t="shared" si="2"/>
        <v>21</v>
      </c>
      <c r="E43" s="66"/>
      <c r="F43" s="129"/>
      <c r="G43" s="6"/>
      <c r="H43" s="67"/>
      <c r="I43" s="131"/>
      <c r="J43" s="67"/>
      <c r="K43" s="67"/>
      <c r="L43" s="89"/>
      <c r="M43" s="110"/>
      <c r="N43" s="112" t="str">
        <f t="shared" si="0"/>
        <v/>
      </c>
      <c r="O43" s="165"/>
      <c r="P43" s="169"/>
      <c r="Q43" s="117"/>
      <c r="R43" s="114" t="str">
        <f t="shared" si="1"/>
        <v/>
      </c>
      <c r="S43" s="79"/>
      <c r="T43" s="80"/>
      <c r="U43" s="10"/>
    </row>
    <row r="44" spans="1:21" x14ac:dyDescent="0.25">
      <c r="A44" s="10"/>
      <c r="D44" s="58">
        <f t="shared" si="2"/>
        <v>22</v>
      </c>
      <c r="E44" s="66"/>
      <c r="F44" s="129"/>
      <c r="G44" s="6"/>
      <c r="H44" s="67"/>
      <c r="I44" s="131"/>
      <c r="J44" s="67"/>
      <c r="K44" s="67"/>
      <c r="L44" s="89"/>
      <c r="M44" s="110"/>
      <c r="N44" s="112" t="str">
        <f t="shared" si="0"/>
        <v/>
      </c>
      <c r="O44" s="165"/>
      <c r="P44" s="169"/>
      <c r="Q44" s="117"/>
      <c r="R44" s="114" t="str">
        <f t="shared" si="1"/>
        <v/>
      </c>
      <c r="S44" s="79"/>
      <c r="T44" s="80"/>
      <c r="U44" s="10"/>
    </row>
    <row r="45" spans="1:21" x14ac:dyDescent="0.25">
      <c r="A45" s="10"/>
      <c r="D45" s="58">
        <f t="shared" si="2"/>
        <v>23</v>
      </c>
      <c r="E45" s="66"/>
      <c r="F45" s="129"/>
      <c r="G45" s="6"/>
      <c r="H45" s="67"/>
      <c r="I45" s="131"/>
      <c r="J45" s="67"/>
      <c r="K45" s="67"/>
      <c r="L45" s="89"/>
      <c r="M45" s="110"/>
      <c r="N45" s="112" t="str">
        <f t="shared" si="0"/>
        <v/>
      </c>
      <c r="O45" s="165"/>
      <c r="P45" s="169"/>
      <c r="Q45" s="117"/>
      <c r="R45" s="114" t="str">
        <f t="shared" si="1"/>
        <v/>
      </c>
      <c r="S45" s="79"/>
      <c r="T45" s="80"/>
      <c r="U45" s="10"/>
    </row>
    <row r="46" spans="1:21" x14ac:dyDescent="0.25">
      <c r="A46" s="10"/>
      <c r="D46" s="58">
        <f t="shared" si="2"/>
        <v>24</v>
      </c>
      <c r="E46" s="66"/>
      <c r="F46" s="129"/>
      <c r="G46" s="6"/>
      <c r="H46" s="67"/>
      <c r="I46" s="131"/>
      <c r="J46" s="67"/>
      <c r="K46" s="67"/>
      <c r="L46" s="89"/>
      <c r="M46" s="110"/>
      <c r="N46" s="112" t="str">
        <f t="shared" si="0"/>
        <v/>
      </c>
      <c r="O46" s="165"/>
      <c r="P46" s="169"/>
      <c r="Q46" s="117"/>
      <c r="R46" s="114" t="str">
        <f t="shared" si="1"/>
        <v/>
      </c>
      <c r="S46" s="79"/>
      <c r="T46" s="80"/>
      <c r="U46" s="10"/>
    </row>
    <row r="47" spans="1:21" x14ac:dyDescent="0.25">
      <c r="A47" s="10"/>
      <c r="D47" s="58">
        <f t="shared" si="2"/>
        <v>25</v>
      </c>
      <c r="E47" s="66"/>
      <c r="F47" s="129"/>
      <c r="G47" s="6"/>
      <c r="H47" s="67"/>
      <c r="I47" s="131"/>
      <c r="J47" s="67"/>
      <c r="K47" s="67"/>
      <c r="L47" s="89"/>
      <c r="M47" s="110"/>
      <c r="N47" s="112" t="str">
        <f t="shared" si="0"/>
        <v/>
      </c>
      <c r="O47" s="165"/>
      <c r="P47" s="169"/>
      <c r="Q47" s="117"/>
      <c r="R47" s="114" t="str">
        <f t="shared" si="1"/>
        <v/>
      </c>
      <c r="S47" s="79"/>
      <c r="T47" s="80"/>
      <c r="U47" s="10"/>
    </row>
    <row r="48" spans="1:21" x14ac:dyDescent="0.25">
      <c r="A48" s="10"/>
      <c r="D48" s="58">
        <f t="shared" si="2"/>
        <v>26</v>
      </c>
      <c r="E48" s="66"/>
      <c r="F48" s="129"/>
      <c r="G48" s="6"/>
      <c r="H48" s="67"/>
      <c r="I48" s="131"/>
      <c r="J48" s="67"/>
      <c r="K48" s="67"/>
      <c r="L48" s="89"/>
      <c r="M48" s="110"/>
      <c r="N48" s="112" t="str">
        <f t="shared" si="0"/>
        <v/>
      </c>
      <c r="O48" s="165"/>
      <c r="P48" s="169"/>
      <c r="Q48" s="117"/>
      <c r="R48" s="114" t="str">
        <f t="shared" si="1"/>
        <v/>
      </c>
      <c r="S48" s="79"/>
      <c r="T48" s="80"/>
      <c r="U48" s="10"/>
    </row>
    <row r="49" spans="1:21" x14ac:dyDescent="0.25">
      <c r="A49" s="10"/>
      <c r="D49" s="58">
        <f t="shared" si="2"/>
        <v>27</v>
      </c>
      <c r="E49" s="66"/>
      <c r="F49" s="129"/>
      <c r="G49" s="6"/>
      <c r="H49" s="67"/>
      <c r="I49" s="131"/>
      <c r="J49" s="67"/>
      <c r="K49" s="67"/>
      <c r="L49" s="89"/>
      <c r="M49" s="110"/>
      <c r="N49" s="112" t="str">
        <f t="shared" si="0"/>
        <v/>
      </c>
      <c r="O49" s="165"/>
      <c r="P49" s="169"/>
      <c r="Q49" s="117"/>
      <c r="R49" s="114" t="str">
        <f t="shared" si="1"/>
        <v/>
      </c>
      <c r="S49" s="79"/>
      <c r="T49" s="80"/>
      <c r="U49" s="10"/>
    </row>
    <row r="50" spans="1:21" x14ac:dyDescent="0.25">
      <c r="A50" s="10"/>
      <c r="D50" s="58">
        <f t="shared" si="2"/>
        <v>28</v>
      </c>
      <c r="E50" s="66"/>
      <c r="F50" s="129"/>
      <c r="G50" s="6"/>
      <c r="H50" s="67"/>
      <c r="I50" s="131"/>
      <c r="J50" s="67"/>
      <c r="K50" s="67"/>
      <c r="L50" s="89"/>
      <c r="M50" s="110"/>
      <c r="N50" s="112" t="str">
        <f t="shared" si="0"/>
        <v/>
      </c>
      <c r="O50" s="165"/>
      <c r="P50" s="169"/>
      <c r="Q50" s="117"/>
      <c r="R50" s="114" t="str">
        <f t="shared" si="1"/>
        <v/>
      </c>
      <c r="S50" s="79"/>
      <c r="T50" s="80"/>
      <c r="U50" s="10"/>
    </row>
    <row r="51" spans="1:21" x14ac:dyDescent="0.25">
      <c r="A51" s="10"/>
      <c r="D51" s="58">
        <f t="shared" si="2"/>
        <v>29</v>
      </c>
      <c r="E51" s="66"/>
      <c r="F51" s="129"/>
      <c r="G51" s="6"/>
      <c r="H51" s="67"/>
      <c r="I51" s="131"/>
      <c r="J51" s="67"/>
      <c r="K51" s="67"/>
      <c r="L51" s="89"/>
      <c r="M51" s="110"/>
      <c r="N51" s="112" t="str">
        <f t="shared" si="0"/>
        <v/>
      </c>
      <c r="O51" s="165"/>
      <c r="P51" s="169"/>
      <c r="Q51" s="117"/>
      <c r="R51" s="114" t="str">
        <f t="shared" si="1"/>
        <v/>
      </c>
      <c r="S51" s="79"/>
      <c r="T51" s="80"/>
      <c r="U51" s="10"/>
    </row>
    <row r="52" spans="1:21" x14ac:dyDescent="0.25">
      <c r="A52" s="10"/>
      <c r="D52" s="58">
        <f t="shared" si="2"/>
        <v>30</v>
      </c>
      <c r="E52" s="66"/>
      <c r="F52" s="129"/>
      <c r="G52" s="6"/>
      <c r="H52" s="67"/>
      <c r="I52" s="131"/>
      <c r="J52" s="67"/>
      <c r="K52" s="67"/>
      <c r="L52" s="89"/>
      <c r="M52" s="110"/>
      <c r="N52" s="112" t="str">
        <f t="shared" si="0"/>
        <v/>
      </c>
      <c r="O52" s="165"/>
      <c r="P52" s="169"/>
      <c r="Q52" s="117"/>
      <c r="R52" s="114" t="str">
        <f t="shared" si="1"/>
        <v/>
      </c>
      <c r="S52" s="79"/>
      <c r="T52" s="80"/>
      <c r="U52" s="10"/>
    </row>
    <row r="53" spans="1:21" x14ac:dyDescent="0.25">
      <c r="A53" s="10"/>
      <c r="D53" s="58">
        <f t="shared" si="2"/>
        <v>31</v>
      </c>
      <c r="E53" s="66"/>
      <c r="F53" s="129"/>
      <c r="G53" s="6"/>
      <c r="H53" s="67"/>
      <c r="I53" s="131"/>
      <c r="J53" s="67"/>
      <c r="K53" s="67"/>
      <c r="L53" s="89"/>
      <c r="M53" s="110"/>
      <c r="N53" s="112" t="str">
        <f t="shared" si="0"/>
        <v/>
      </c>
      <c r="O53" s="165"/>
      <c r="P53" s="169"/>
      <c r="Q53" s="117"/>
      <c r="R53" s="114" t="str">
        <f t="shared" si="1"/>
        <v/>
      </c>
      <c r="S53" s="79"/>
      <c r="T53" s="80"/>
      <c r="U53" s="10"/>
    </row>
    <row r="54" spans="1:21" x14ac:dyDescent="0.25">
      <c r="A54" s="10"/>
      <c r="D54" s="58">
        <f t="shared" si="2"/>
        <v>32</v>
      </c>
      <c r="E54" s="66"/>
      <c r="F54" s="129"/>
      <c r="G54" s="6"/>
      <c r="H54" s="67"/>
      <c r="I54" s="131"/>
      <c r="J54" s="67"/>
      <c r="K54" s="67"/>
      <c r="L54" s="89"/>
      <c r="M54" s="110"/>
      <c r="N54" s="112" t="str">
        <f t="shared" si="0"/>
        <v/>
      </c>
      <c r="O54" s="165"/>
      <c r="P54" s="169"/>
      <c r="Q54" s="117"/>
      <c r="R54" s="114" t="str">
        <f t="shared" si="1"/>
        <v/>
      </c>
      <c r="S54" s="79"/>
      <c r="T54" s="80"/>
      <c r="U54" s="10"/>
    </row>
    <row r="55" spans="1:21" x14ac:dyDescent="0.25">
      <c r="A55" s="10"/>
      <c r="D55" s="58">
        <f t="shared" si="2"/>
        <v>33</v>
      </c>
      <c r="E55" s="66"/>
      <c r="F55" s="129"/>
      <c r="G55" s="6"/>
      <c r="H55" s="67"/>
      <c r="I55" s="131"/>
      <c r="J55" s="67"/>
      <c r="K55" s="67"/>
      <c r="L55" s="89"/>
      <c r="M55" s="110"/>
      <c r="N55" s="112" t="str">
        <f t="shared" si="0"/>
        <v/>
      </c>
      <c r="O55" s="165"/>
      <c r="P55" s="169"/>
      <c r="Q55" s="117"/>
      <c r="R55" s="114" t="str">
        <f t="shared" si="1"/>
        <v/>
      </c>
      <c r="S55" s="79"/>
      <c r="T55" s="80"/>
      <c r="U55" s="10"/>
    </row>
    <row r="56" spans="1:21" x14ac:dyDescent="0.25">
      <c r="A56" s="10"/>
      <c r="D56" s="58">
        <f t="shared" si="2"/>
        <v>34</v>
      </c>
      <c r="E56" s="66"/>
      <c r="F56" s="129"/>
      <c r="G56" s="6"/>
      <c r="H56" s="67"/>
      <c r="I56" s="131"/>
      <c r="J56" s="67"/>
      <c r="K56" s="67"/>
      <c r="L56" s="89"/>
      <c r="M56" s="110"/>
      <c r="N56" s="112" t="str">
        <f t="shared" si="0"/>
        <v/>
      </c>
      <c r="O56" s="165"/>
      <c r="P56" s="169"/>
      <c r="Q56" s="117"/>
      <c r="R56" s="114" t="str">
        <f t="shared" si="1"/>
        <v/>
      </c>
      <c r="S56" s="79"/>
      <c r="T56" s="80"/>
      <c r="U56" s="10"/>
    </row>
    <row r="57" spans="1:21" x14ac:dyDescent="0.25">
      <c r="A57" s="10"/>
      <c r="D57" s="58">
        <f t="shared" si="2"/>
        <v>35</v>
      </c>
      <c r="E57" s="66"/>
      <c r="F57" s="129"/>
      <c r="G57" s="6"/>
      <c r="H57" s="67"/>
      <c r="I57" s="131"/>
      <c r="J57" s="67"/>
      <c r="K57" s="67"/>
      <c r="L57" s="89"/>
      <c r="M57" s="110"/>
      <c r="N57" s="112" t="str">
        <f t="shared" si="0"/>
        <v/>
      </c>
      <c r="O57" s="165"/>
      <c r="P57" s="169"/>
      <c r="Q57" s="117"/>
      <c r="R57" s="114" t="str">
        <f t="shared" si="1"/>
        <v/>
      </c>
      <c r="S57" s="79"/>
      <c r="T57" s="80"/>
      <c r="U57" s="10"/>
    </row>
    <row r="58" spans="1:21" x14ac:dyDescent="0.25">
      <c r="A58" s="10"/>
      <c r="D58" s="58">
        <f t="shared" si="2"/>
        <v>36</v>
      </c>
      <c r="E58" s="66"/>
      <c r="F58" s="129"/>
      <c r="G58" s="6"/>
      <c r="H58" s="67"/>
      <c r="I58" s="131"/>
      <c r="J58" s="67"/>
      <c r="K58" s="67"/>
      <c r="L58" s="89"/>
      <c r="M58" s="110"/>
      <c r="N58" s="112" t="str">
        <f t="shared" si="0"/>
        <v/>
      </c>
      <c r="O58" s="165"/>
      <c r="P58" s="169"/>
      <c r="Q58" s="117"/>
      <c r="R58" s="114" t="str">
        <f t="shared" si="1"/>
        <v/>
      </c>
      <c r="S58" s="79"/>
      <c r="T58" s="80"/>
      <c r="U58" s="10"/>
    </row>
    <row r="59" spans="1:21" x14ac:dyDescent="0.25">
      <c r="A59" s="10"/>
      <c r="D59" s="58">
        <f t="shared" si="2"/>
        <v>37</v>
      </c>
      <c r="E59" s="66"/>
      <c r="F59" s="129"/>
      <c r="G59" s="6"/>
      <c r="H59" s="67"/>
      <c r="I59" s="131"/>
      <c r="J59" s="67"/>
      <c r="K59" s="67"/>
      <c r="L59" s="89"/>
      <c r="M59" s="110"/>
      <c r="N59" s="112" t="str">
        <f t="shared" si="0"/>
        <v/>
      </c>
      <c r="O59" s="165"/>
      <c r="P59" s="169"/>
      <c r="Q59" s="117"/>
      <c r="R59" s="114" t="str">
        <f t="shared" si="1"/>
        <v/>
      </c>
      <c r="S59" s="79"/>
      <c r="T59" s="80"/>
      <c r="U59" s="10"/>
    </row>
    <row r="60" spans="1:21" x14ac:dyDescent="0.25">
      <c r="A60" s="10"/>
      <c r="D60" s="58">
        <f t="shared" si="2"/>
        <v>38</v>
      </c>
      <c r="E60" s="66"/>
      <c r="F60" s="129"/>
      <c r="G60" s="6"/>
      <c r="H60" s="67"/>
      <c r="I60" s="131"/>
      <c r="J60" s="67"/>
      <c r="K60" s="67"/>
      <c r="L60" s="89"/>
      <c r="M60" s="110"/>
      <c r="N60" s="112" t="str">
        <f t="shared" si="0"/>
        <v/>
      </c>
      <c r="O60" s="165"/>
      <c r="P60" s="169"/>
      <c r="Q60" s="117"/>
      <c r="R60" s="114" t="str">
        <f t="shared" si="1"/>
        <v/>
      </c>
      <c r="S60" s="79"/>
      <c r="T60" s="80"/>
      <c r="U60" s="10"/>
    </row>
    <row r="61" spans="1:21" x14ac:dyDescent="0.25">
      <c r="A61" s="10"/>
      <c r="D61" s="58">
        <f t="shared" si="2"/>
        <v>39</v>
      </c>
      <c r="E61" s="66"/>
      <c r="F61" s="129"/>
      <c r="G61" s="6"/>
      <c r="H61" s="67"/>
      <c r="I61" s="131"/>
      <c r="J61" s="67"/>
      <c r="K61" s="67"/>
      <c r="L61" s="89"/>
      <c r="M61" s="110"/>
      <c r="N61" s="112" t="str">
        <f t="shared" si="0"/>
        <v/>
      </c>
      <c r="O61" s="165"/>
      <c r="P61" s="169"/>
      <c r="Q61" s="117"/>
      <c r="R61" s="114" t="str">
        <f t="shared" si="1"/>
        <v/>
      </c>
      <c r="S61" s="79"/>
      <c r="T61" s="80"/>
      <c r="U61" s="10"/>
    </row>
    <row r="62" spans="1:21" x14ac:dyDescent="0.25">
      <c r="A62" s="10"/>
      <c r="D62" s="58">
        <f t="shared" si="2"/>
        <v>40</v>
      </c>
      <c r="E62" s="66"/>
      <c r="F62" s="129"/>
      <c r="G62" s="6"/>
      <c r="H62" s="67"/>
      <c r="I62" s="131"/>
      <c r="J62" s="67"/>
      <c r="K62" s="67"/>
      <c r="L62" s="89"/>
      <c r="M62" s="110"/>
      <c r="N62" s="112" t="str">
        <f t="shared" si="0"/>
        <v/>
      </c>
      <c r="O62" s="165"/>
      <c r="P62" s="169"/>
      <c r="Q62" s="117"/>
      <c r="R62" s="114" t="str">
        <f t="shared" si="1"/>
        <v/>
      </c>
      <c r="S62" s="79"/>
      <c r="T62" s="80"/>
      <c r="U62" s="10"/>
    </row>
    <row r="63" spans="1:21" x14ac:dyDescent="0.25">
      <c r="A63" s="10"/>
      <c r="D63" s="58">
        <f t="shared" si="2"/>
        <v>41</v>
      </c>
      <c r="E63" s="66"/>
      <c r="F63" s="129"/>
      <c r="G63" s="6"/>
      <c r="H63" s="67"/>
      <c r="I63" s="131"/>
      <c r="J63" s="67"/>
      <c r="K63" s="67"/>
      <c r="L63" s="89"/>
      <c r="M63" s="110"/>
      <c r="N63" s="112" t="str">
        <f t="shared" si="0"/>
        <v/>
      </c>
      <c r="O63" s="165"/>
      <c r="P63" s="169"/>
      <c r="Q63" s="117"/>
      <c r="R63" s="114" t="str">
        <f t="shared" si="1"/>
        <v/>
      </c>
      <c r="S63" s="79"/>
      <c r="T63" s="80"/>
      <c r="U63" s="10"/>
    </row>
    <row r="64" spans="1:21" x14ac:dyDescent="0.25">
      <c r="A64" s="10"/>
      <c r="D64" s="58">
        <f t="shared" si="2"/>
        <v>42</v>
      </c>
      <c r="E64" s="66"/>
      <c r="F64" s="129"/>
      <c r="G64" s="6"/>
      <c r="H64" s="67"/>
      <c r="I64" s="131"/>
      <c r="J64" s="67"/>
      <c r="K64" s="67"/>
      <c r="L64" s="89"/>
      <c r="M64" s="110"/>
      <c r="N64" s="112" t="str">
        <f t="shared" si="0"/>
        <v/>
      </c>
      <c r="O64" s="165"/>
      <c r="P64" s="169"/>
      <c r="Q64" s="117"/>
      <c r="R64" s="114" t="str">
        <f t="shared" si="1"/>
        <v/>
      </c>
      <c r="S64" s="79"/>
      <c r="T64" s="80"/>
      <c r="U64" s="10"/>
    </row>
    <row r="65" spans="1:21" x14ac:dyDescent="0.25">
      <c r="A65" s="10"/>
      <c r="D65" s="58">
        <f t="shared" si="2"/>
        <v>43</v>
      </c>
      <c r="E65" s="66"/>
      <c r="F65" s="129"/>
      <c r="G65" s="6"/>
      <c r="H65" s="67"/>
      <c r="I65" s="131"/>
      <c r="J65" s="67"/>
      <c r="K65" s="67"/>
      <c r="L65" s="89"/>
      <c r="M65" s="110"/>
      <c r="N65" s="112" t="str">
        <f t="shared" si="0"/>
        <v/>
      </c>
      <c r="O65" s="165"/>
      <c r="P65" s="169"/>
      <c r="Q65" s="117"/>
      <c r="R65" s="114" t="str">
        <f t="shared" si="1"/>
        <v/>
      </c>
      <c r="S65" s="79"/>
      <c r="T65" s="80"/>
      <c r="U65" s="10"/>
    </row>
    <row r="66" spans="1:21" x14ac:dyDescent="0.25">
      <c r="A66" s="10"/>
      <c r="D66" s="58">
        <f t="shared" si="2"/>
        <v>44</v>
      </c>
      <c r="E66" s="66"/>
      <c r="F66" s="129"/>
      <c r="G66" s="6"/>
      <c r="H66" s="67"/>
      <c r="I66" s="131"/>
      <c r="J66" s="67"/>
      <c r="K66" s="67"/>
      <c r="L66" s="89"/>
      <c r="M66" s="110"/>
      <c r="N66" s="112" t="str">
        <f t="shared" si="0"/>
        <v/>
      </c>
      <c r="O66" s="165"/>
      <c r="P66" s="169"/>
      <c r="Q66" s="117"/>
      <c r="R66" s="114" t="str">
        <f t="shared" si="1"/>
        <v/>
      </c>
      <c r="S66" s="79"/>
      <c r="T66" s="80"/>
      <c r="U66" s="10"/>
    </row>
    <row r="67" spans="1:21" x14ac:dyDescent="0.25">
      <c r="A67" s="10"/>
      <c r="D67" s="58">
        <f t="shared" si="2"/>
        <v>45</v>
      </c>
      <c r="E67" s="66"/>
      <c r="F67" s="129"/>
      <c r="G67" s="6"/>
      <c r="H67" s="67"/>
      <c r="I67" s="131"/>
      <c r="J67" s="67"/>
      <c r="K67" s="67"/>
      <c r="L67" s="89"/>
      <c r="M67" s="110"/>
      <c r="N67" s="112" t="str">
        <f t="shared" si="0"/>
        <v/>
      </c>
      <c r="O67" s="165"/>
      <c r="P67" s="169"/>
      <c r="Q67" s="117"/>
      <c r="R67" s="114" t="str">
        <f t="shared" si="1"/>
        <v/>
      </c>
      <c r="S67" s="79"/>
      <c r="T67" s="80"/>
      <c r="U67" s="10"/>
    </row>
    <row r="68" spans="1:21" x14ac:dyDescent="0.25">
      <c r="A68" s="10"/>
      <c r="D68" s="58">
        <f t="shared" si="2"/>
        <v>46</v>
      </c>
      <c r="E68" s="66"/>
      <c r="F68" s="129"/>
      <c r="G68" s="6"/>
      <c r="H68" s="67"/>
      <c r="I68" s="131"/>
      <c r="J68" s="67"/>
      <c r="K68" s="67"/>
      <c r="L68" s="89"/>
      <c r="M68" s="110"/>
      <c r="N68" s="112" t="str">
        <f t="shared" si="0"/>
        <v/>
      </c>
      <c r="O68" s="165"/>
      <c r="P68" s="169"/>
      <c r="Q68" s="117"/>
      <c r="R68" s="114" t="str">
        <f t="shared" si="1"/>
        <v/>
      </c>
      <c r="S68" s="79"/>
      <c r="T68" s="80"/>
      <c r="U68" s="10"/>
    </row>
    <row r="69" spans="1:21" x14ac:dyDescent="0.25">
      <c r="A69" s="10"/>
      <c r="D69" s="58">
        <f t="shared" si="2"/>
        <v>47</v>
      </c>
      <c r="E69" s="66"/>
      <c r="F69" s="129"/>
      <c r="G69" s="6"/>
      <c r="H69" s="67"/>
      <c r="I69" s="131"/>
      <c r="J69" s="67"/>
      <c r="K69" s="67"/>
      <c r="L69" s="89"/>
      <c r="M69" s="110"/>
      <c r="N69" s="112" t="str">
        <f t="shared" si="0"/>
        <v/>
      </c>
      <c r="O69" s="165"/>
      <c r="P69" s="169"/>
      <c r="Q69" s="117"/>
      <c r="R69" s="114" t="str">
        <f t="shared" si="1"/>
        <v/>
      </c>
      <c r="S69" s="79"/>
      <c r="T69" s="80"/>
      <c r="U69" s="10"/>
    </row>
    <row r="70" spans="1:21" x14ac:dyDescent="0.25">
      <c r="A70" s="10"/>
      <c r="D70" s="58">
        <f t="shared" si="2"/>
        <v>48</v>
      </c>
      <c r="E70" s="66"/>
      <c r="F70" s="129"/>
      <c r="G70" s="6"/>
      <c r="H70" s="67"/>
      <c r="I70" s="131"/>
      <c r="J70" s="67"/>
      <c r="K70" s="67"/>
      <c r="L70" s="89"/>
      <c r="M70" s="110"/>
      <c r="N70" s="112" t="str">
        <f t="shared" si="0"/>
        <v/>
      </c>
      <c r="O70" s="165"/>
      <c r="P70" s="169"/>
      <c r="Q70" s="117"/>
      <c r="R70" s="114" t="str">
        <f t="shared" si="1"/>
        <v/>
      </c>
      <c r="S70" s="79"/>
      <c r="T70" s="80"/>
      <c r="U70" s="10"/>
    </row>
    <row r="71" spans="1:21" x14ac:dyDescent="0.25">
      <c r="A71" s="10"/>
      <c r="D71" s="58">
        <f t="shared" si="2"/>
        <v>49</v>
      </c>
      <c r="E71" s="66"/>
      <c r="F71" s="129"/>
      <c r="G71" s="6"/>
      <c r="H71" s="67"/>
      <c r="I71" s="131"/>
      <c r="J71" s="67"/>
      <c r="K71" s="67"/>
      <c r="L71" s="89"/>
      <c r="M71" s="110"/>
      <c r="N71" s="112" t="str">
        <f t="shared" si="0"/>
        <v/>
      </c>
      <c r="O71" s="165"/>
      <c r="P71" s="169"/>
      <c r="Q71" s="117"/>
      <c r="R71" s="114" t="str">
        <f t="shared" si="1"/>
        <v/>
      </c>
      <c r="S71" s="79"/>
      <c r="T71" s="80"/>
      <c r="U71" s="10"/>
    </row>
    <row r="72" spans="1:21" x14ac:dyDescent="0.25">
      <c r="A72" s="10"/>
      <c r="D72" s="59">
        <v>50</v>
      </c>
      <c r="E72" s="69"/>
      <c r="F72" s="130"/>
      <c r="G72" s="72"/>
      <c r="H72" s="73"/>
      <c r="I72" s="131"/>
      <c r="J72" s="73"/>
      <c r="K72" s="73"/>
      <c r="L72" s="72"/>
      <c r="M72" s="111"/>
      <c r="N72" s="113" t="str">
        <f t="shared" si="0"/>
        <v/>
      </c>
      <c r="O72" s="167"/>
      <c r="P72" s="170"/>
      <c r="Q72" s="118"/>
      <c r="R72" s="115" t="str">
        <f t="shared" si="1"/>
        <v/>
      </c>
      <c r="S72" s="81"/>
      <c r="T72" s="82"/>
      <c r="U72" s="10"/>
    </row>
    <row r="73" spans="1:21" x14ac:dyDescent="0.25">
      <c r="A73" s="10"/>
      <c r="D73" s="26"/>
      <c r="E73" s="23"/>
      <c r="F73" s="25"/>
      <c r="G73" s="25"/>
      <c r="H73" s="23"/>
      <c r="I73" s="145"/>
      <c r="J73" s="23"/>
      <c r="K73" s="24"/>
      <c r="M73" s="24"/>
      <c r="N73" s="24"/>
      <c r="O73" s="24"/>
      <c r="P73" s="24"/>
      <c r="Q73" s="24"/>
      <c r="U73" s="10"/>
    </row>
    <row r="74" spans="1:21" x14ac:dyDescent="0.25">
      <c r="A74" s="10"/>
      <c r="U74" s="10"/>
    </row>
    <row r="75" spans="1:21" ht="15.75" x14ac:dyDescent="0.25">
      <c r="A75" s="10"/>
      <c r="D75" s="191" t="s">
        <v>61</v>
      </c>
      <c r="E75" s="192"/>
      <c r="F75" s="191" t="s">
        <v>62</v>
      </c>
      <c r="G75" s="192"/>
      <c r="H75" s="191" t="s">
        <v>63</v>
      </c>
      <c r="I75" s="192"/>
      <c r="J75" s="191" t="s">
        <v>64</v>
      </c>
      <c r="K75" s="192"/>
      <c r="O75" s="214" t="s">
        <v>9</v>
      </c>
      <c r="P75" s="215"/>
      <c r="Q75" s="201">
        <f>+SUM(N23:N72)</f>
        <v>0</v>
      </c>
      <c r="R75" s="202"/>
      <c r="S75" s="18"/>
      <c r="U75" s="10"/>
    </row>
    <row r="76" spans="1:21" ht="15.75" x14ac:dyDescent="0.25">
      <c r="A76" s="10"/>
      <c r="D76" s="184" t="s">
        <v>65</v>
      </c>
      <c r="E76" s="185"/>
      <c r="F76" s="185"/>
      <c r="G76" s="185"/>
      <c r="H76" s="185"/>
      <c r="I76" s="185"/>
      <c r="J76" s="185"/>
      <c r="K76" s="186"/>
      <c r="O76" s="214" t="s">
        <v>10</v>
      </c>
      <c r="P76" s="215"/>
      <c r="Q76" s="201">
        <f>-SUM(O23:O72)</f>
        <v>0</v>
      </c>
      <c r="R76" s="202"/>
      <c r="S76" s="19"/>
      <c r="U76" s="10"/>
    </row>
    <row r="77" spans="1:21" x14ac:dyDescent="0.25">
      <c r="A77" s="10"/>
      <c r="D77" s="197" t="s">
        <v>66</v>
      </c>
      <c r="E77" s="198"/>
      <c r="F77" s="193">
        <f>IF(COUNTIFS(N23:N72,"&gt;"&amp;0,T23:T72,H77)&gt;=1,SUMIF(T23:T72,H77,N23:N72)-SUMIF(T23:T72,H77,O23:O72),0)</f>
        <v>0</v>
      </c>
      <c r="G77" s="194"/>
      <c r="H77" s="195">
        <v>0.19</v>
      </c>
      <c r="I77" s="196"/>
      <c r="J77" s="193">
        <f>F77*H77</f>
        <v>0</v>
      </c>
      <c r="K77" s="194"/>
      <c r="O77" s="214" t="s">
        <v>2936</v>
      </c>
      <c r="P77" s="215"/>
      <c r="Q77" s="201">
        <f>+SUM(P23:P72)</f>
        <v>0</v>
      </c>
      <c r="R77" s="202"/>
      <c r="S77" s="18"/>
      <c r="U77" s="10"/>
    </row>
    <row r="78" spans="1:21" x14ac:dyDescent="0.25">
      <c r="A78" s="10"/>
      <c r="D78" s="197" t="s">
        <v>67</v>
      </c>
      <c r="E78" s="198"/>
      <c r="F78" s="193">
        <f>IF(COUNTIFS(N23:N72,"&gt;"&amp;0,T23:T72,H78)&gt;=1,SUMIF(T23:T72,H78,N23:N72)-SUMIF(T23:T72,H78,O23:O72),0)</f>
        <v>0</v>
      </c>
      <c r="G78" s="194"/>
      <c r="H78" s="195">
        <v>0.05</v>
      </c>
      <c r="I78" s="196"/>
      <c r="J78" s="193">
        <f>F78*H78</f>
        <v>0</v>
      </c>
      <c r="K78" s="194"/>
      <c r="O78" s="214" t="s">
        <v>2935</v>
      </c>
      <c r="P78" s="215"/>
      <c r="Q78" s="201">
        <f>+SUM(Q23:Q72)</f>
        <v>0</v>
      </c>
      <c r="R78" s="202"/>
      <c r="S78" s="18"/>
      <c r="U78" s="10"/>
    </row>
    <row r="79" spans="1:21" ht="15.75" x14ac:dyDescent="0.25">
      <c r="A79" s="10"/>
      <c r="D79" s="197" t="s">
        <v>1589</v>
      </c>
      <c r="E79" s="198"/>
      <c r="F79" s="193">
        <f>IF(COUNTIFS(N23:N72,"&gt;"&amp;0,T23:T72,H79)&gt;=1,SUMIF(T23:T72,H79,N23:N72)-SUMIF(T23:T72,H79,O23:O72),0)</f>
        <v>0</v>
      </c>
      <c r="G79" s="194"/>
      <c r="H79" s="195">
        <v>0</v>
      </c>
      <c r="I79" s="196"/>
      <c r="J79" s="193">
        <f>F79*H79</f>
        <v>0</v>
      </c>
      <c r="K79" s="194"/>
      <c r="O79" s="218" t="s">
        <v>7</v>
      </c>
      <c r="P79" s="219"/>
      <c r="Q79" s="201">
        <f>+SUM(R23:R72)</f>
        <v>0</v>
      </c>
      <c r="R79" s="202"/>
      <c r="S79" s="18"/>
      <c r="U79" s="10"/>
    </row>
    <row r="80" spans="1:21" x14ac:dyDescent="0.25">
      <c r="A80" s="10"/>
      <c r="D80" s="197" t="s">
        <v>1590</v>
      </c>
      <c r="E80" s="198"/>
      <c r="F80" s="193">
        <f>IF(COUNTIFS(N23:N72,"&gt;"&amp;0,T23:T72,H80)&gt;=1,SUMIF(T23:T72,H80,N23:N72)-SUMIF(T23:T72,H80,O23:O72),0)</f>
        <v>0</v>
      </c>
      <c r="G80" s="194"/>
      <c r="H80" s="197" t="s">
        <v>110</v>
      </c>
      <c r="I80" s="198"/>
      <c r="J80" s="193">
        <f>IFERROR(F80*H80,0)</f>
        <v>0</v>
      </c>
      <c r="K80" s="194"/>
      <c r="O80" s="214" t="s">
        <v>8</v>
      </c>
      <c r="P80" s="215"/>
      <c r="Q80" s="201">
        <f>SUM(J77:K81)</f>
        <v>0</v>
      </c>
      <c r="R80" s="202"/>
      <c r="S80" s="18"/>
      <c r="U80" s="10"/>
    </row>
    <row r="81" spans="1:21" x14ac:dyDescent="0.25">
      <c r="A81" s="10"/>
      <c r="D81" s="197" t="s">
        <v>1591</v>
      </c>
      <c r="E81" s="198"/>
      <c r="F81" s="193">
        <f>IF(COUNTIFS(N23:N72,"&gt;"&amp;0,T23:T72,H81)&gt;=1,SUMIF(T23:T72,H81,N23:N72)-SUMIF(T23:T72,H81,O23:O72),0)</f>
        <v>0</v>
      </c>
      <c r="G81" s="194"/>
      <c r="H81" s="197" t="s">
        <v>111</v>
      </c>
      <c r="I81" s="198"/>
      <c r="J81" s="193">
        <f>IFERROR(F81*H81,0)</f>
        <v>0</v>
      </c>
      <c r="K81" s="194"/>
      <c r="O81" s="214" t="str">
        <f>S22</f>
        <v>Impoconsumo*</v>
      </c>
      <c r="P81" s="215"/>
      <c r="Q81" s="201">
        <f>+SUMPRODUCT(R23:R72,S23:S72)</f>
        <v>0</v>
      </c>
      <c r="R81" s="202"/>
      <c r="S81" s="18"/>
      <c r="U81" s="10"/>
    </row>
    <row r="82" spans="1:21" ht="15.75" x14ac:dyDescent="0.25">
      <c r="A82" s="10"/>
      <c r="D82" s="184" t="s">
        <v>68</v>
      </c>
      <c r="E82" s="185"/>
      <c r="F82" s="185"/>
      <c r="G82" s="185"/>
      <c r="H82" s="185"/>
      <c r="I82" s="185"/>
      <c r="J82" s="185"/>
      <c r="K82" s="186"/>
      <c r="O82" s="214" t="s">
        <v>3</v>
      </c>
      <c r="P82" s="215"/>
      <c r="Q82" s="201">
        <f>J83</f>
        <v>0</v>
      </c>
      <c r="R82" s="202"/>
      <c r="S82" s="18"/>
      <c r="U82" s="10"/>
    </row>
    <row r="83" spans="1:21" x14ac:dyDescent="0.25">
      <c r="A83" s="10"/>
      <c r="D83" s="197" t="s">
        <v>69</v>
      </c>
      <c r="E83" s="198"/>
      <c r="F83" s="193">
        <f>$Q$75+$Q$76</f>
        <v>0</v>
      </c>
      <c r="G83" s="194"/>
      <c r="H83" s="216"/>
      <c r="I83" s="217"/>
      <c r="J83" s="193">
        <f>-F83*H83</f>
        <v>0</v>
      </c>
      <c r="K83" s="194"/>
      <c r="O83" s="214" t="s">
        <v>71</v>
      </c>
      <c r="P83" s="215"/>
      <c r="Q83" s="201">
        <f>J84</f>
        <v>0</v>
      </c>
      <c r="R83" s="202"/>
      <c r="S83" s="18"/>
      <c r="U83" s="10"/>
    </row>
    <row r="84" spans="1:21" x14ac:dyDescent="0.25">
      <c r="A84" s="10"/>
      <c r="D84" s="197" t="s">
        <v>70</v>
      </c>
      <c r="E84" s="198"/>
      <c r="F84" s="193">
        <f t="shared" ref="F84" si="3">$Q$75+$Q$76</f>
        <v>0</v>
      </c>
      <c r="G84" s="194"/>
      <c r="H84" s="216"/>
      <c r="I84" s="217"/>
      <c r="J84" s="193">
        <f>-F84*H84</f>
        <v>0</v>
      </c>
      <c r="K84" s="194"/>
      <c r="O84" s="214" t="s">
        <v>72</v>
      </c>
      <c r="P84" s="215"/>
      <c r="Q84" s="201">
        <f>IF(K17="O-23 Agente de retención IVA",-Q80*15%,0)</f>
        <v>0</v>
      </c>
      <c r="R84" s="202"/>
      <c r="S84" s="18"/>
      <c r="U84" s="10"/>
    </row>
    <row r="85" spans="1:21" ht="15.75" x14ac:dyDescent="0.25">
      <c r="A85" s="10"/>
      <c r="O85" s="218" t="s">
        <v>73</v>
      </c>
      <c r="P85" s="219"/>
      <c r="Q85" s="201">
        <f>(Q79+Q80+Q81+Q82+Q83+Q84)</f>
        <v>0</v>
      </c>
      <c r="R85" s="202"/>
      <c r="S85" s="18"/>
      <c r="U85" s="10"/>
    </row>
    <row r="86" spans="1:21" x14ac:dyDescent="0.25">
      <c r="A86" s="10"/>
      <c r="S86" s="18"/>
      <c r="U86" s="10"/>
    </row>
    <row r="87" spans="1:21" ht="15.75" x14ac:dyDescent="0.25">
      <c r="A87" s="10"/>
      <c r="S87" s="20"/>
      <c r="U87" s="10"/>
    </row>
    <row r="88" spans="1:21" ht="15.75" x14ac:dyDescent="0.25">
      <c r="A88" s="10"/>
      <c r="O88" s="21"/>
      <c r="P88" s="21"/>
      <c r="S88" s="20"/>
      <c r="U88" s="10"/>
    </row>
    <row r="89" spans="1:21" ht="15.75" x14ac:dyDescent="0.25">
      <c r="A89" s="10"/>
      <c r="O89" s="21"/>
      <c r="P89" s="21"/>
      <c r="S89" s="20"/>
      <c r="U89" s="10"/>
    </row>
    <row r="90" spans="1:21" ht="14.45" customHeight="1" x14ac:dyDescent="0.25">
      <c r="A90" s="10"/>
      <c r="N90" s="22"/>
      <c r="U90" s="10"/>
    </row>
    <row r="91" spans="1:21" x14ac:dyDescent="0.25">
      <c r="A91" s="17"/>
      <c r="B91" s="16"/>
      <c r="C91" s="16"/>
      <c r="D91" s="16"/>
      <c r="E91" s="16"/>
      <c r="F91" s="16"/>
      <c r="G91" s="16"/>
      <c r="H91" s="16"/>
      <c r="I91" s="16"/>
      <c r="J91" s="16"/>
      <c r="K91" s="16"/>
      <c r="L91" s="16"/>
      <c r="M91" s="16"/>
      <c r="N91" s="16"/>
      <c r="O91" s="16"/>
      <c r="P91" s="16"/>
      <c r="Q91" s="16"/>
      <c r="R91" s="16"/>
      <c r="S91" s="16"/>
      <c r="T91" s="16"/>
      <c r="U91" s="17"/>
    </row>
    <row r="92" spans="1:21" x14ac:dyDescent="0.25">
      <c r="D92" s="22"/>
      <c r="E92" s="22"/>
      <c r="F92" s="22"/>
      <c r="G92" s="22"/>
      <c r="H92" s="22"/>
      <c r="I92" s="22"/>
      <c r="J92" s="22"/>
      <c r="K92" s="22"/>
    </row>
  </sheetData>
  <sheetProtection algorithmName="SHA-512" hashValue="ROmF56wkXEaOPpCIKbWTKt6DaGl4PPIckrwWOj+6jAbbZjgr0Yl5QliPyDNwhR3zyJqcszWEbuALCqmQ4Q/vBQ==" saltValue="vGMToP1UM72Yot3HJ76myw==" spinCount="100000" sheet="1" objects="1" scenarios="1"/>
  <mergeCells count="96">
    <mergeCell ref="P7:P8"/>
    <mergeCell ref="T7:T8"/>
    <mergeCell ref="R7:R8"/>
    <mergeCell ref="D75:E75"/>
    <mergeCell ref="F75:G75"/>
    <mergeCell ref="H75:I75"/>
    <mergeCell ref="J16:M16"/>
    <mergeCell ref="M15:O15"/>
    <mergeCell ref="D17:E17"/>
    <mergeCell ref="F17:H17"/>
    <mergeCell ref="I17:J17"/>
    <mergeCell ref="K17:M17"/>
    <mergeCell ref="J75:K75"/>
    <mergeCell ref="O75:P75"/>
    <mergeCell ref="P17:T17"/>
    <mergeCell ref="O13:P13"/>
    <mergeCell ref="E13:J13"/>
    <mergeCell ref="L13:M13"/>
    <mergeCell ref="F14:K14"/>
    <mergeCell ref="R13:T13"/>
    <mergeCell ref="D76:K76"/>
    <mergeCell ref="R16:T16"/>
    <mergeCell ref="N16:O16"/>
    <mergeCell ref="O76:P76"/>
    <mergeCell ref="Q76:R76"/>
    <mergeCell ref="D14:E14"/>
    <mergeCell ref="M14:O14"/>
    <mergeCell ref="Q14:T14"/>
    <mergeCell ref="D15:E15"/>
    <mergeCell ref="F15:K15"/>
    <mergeCell ref="Q15:T15"/>
    <mergeCell ref="D77:E77"/>
    <mergeCell ref="F77:G77"/>
    <mergeCell ref="H77:I77"/>
    <mergeCell ref="J77:K77"/>
    <mergeCell ref="Q11:T11"/>
    <mergeCell ref="E12:G12"/>
    <mergeCell ref="I12:K12"/>
    <mergeCell ref="M12:O12"/>
    <mergeCell ref="Q12:T12"/>
    <mergeCell ref="D11:F11"/>
    <mergeCell ref="O11:P11"/>
    <mergeCell ref="E19:L20"/>
    <mergeCell ref="D19:D20"/>
    <mergeCell ref="F16:H16"/>
    <mergeCell ref="D16:E16"/>
    <mergeCell ref="N17:O17"/>
    <mergeCell ref="D5:E5"/>
    <mergeCell ref="D7:F7"/>
    <mergeCell ref="H7:J7"/>
    <mergeCell ref="L7:N7"/>
    <mergeCell ref="G11:N11"/>
    <mergeCell ref="J78:K78"/>
    <mergeCell ref="O79:P79"/>
    <mergeCell ref="O77:P77"/>
    <mergeCell ref="D82:K82"/>
    <mergeCell ref="O83:P83"/>
    <mergeCell ref="J80:K80"/>
    <mergeCell ref="O81:P81"/>
    <mergeCell ref="D79:E79"/>
    <mergeCell ref="F79:G79"/>
    <mergeCell ref="H79:I79"/>
    <mergeCell ref="J79:K79"/>
    <mergeCell ref="O80:P80"/>
    <mergeCell ref="F78:G78"/>
    <mergeCell ref="H78:I78"/>
    <mergeCell ref="D78:E78"/>
    <mergeCell ref="D80:E80"/>
    <mergeCell ref="F80:G80"/>
    <mergeCell ref="H80:I80"/>
    <mergeCell ref="Q83:R83"/>
    <mergeCell ref="D83:E83"/>
    <mergeCell ref="F83:G83"/>
    <mergeCell ref="H83:I83"/>
    <mergeCell ref="J83:K83"/>
    <mergeCell ref="Q80:R80"/>
    <mergeCell ref="D81:E81"/>
    <mergeCell ref="F81:G81"/>
    <mergeCell ref="H81:I81"/>
    <mergeCell ref="J81:K81"/>
    <mergeCell ref="O82:P82"/>
    <mergeCell ref="D84:E84"/>
    <mergeCell ref="F84:G84"/>
    <mergeCell ref="H84:I84"/>
    <mergeCell ref="J84:K84"/>
    <mergeCell ref="O85:P85"/>
    <mergeCell ref="O84:P84"/>
    <mergeCell ref="Q77:R77"/>
    <mergeCell ref="Q75:R75"/>
    <mergeCell ref="O78:P78"/>
    <mergeCell ref="Q78:R78"/>
    <mergeCell ref="Q85:R85"/>
    <mergeCell ref="Q81:R81"/>
    <mergeCell ref="Q82:R82"/>
    <mergeCell ref="Q84:R84"/>
    <mergeCell ref="Q79:R79"/>
  </mergeCells>
  <phoneticPr fontId="4" type="noConversion"/>
  <conditionalFormatting sqref="P16">
    <cfRule type="expression" dxfId="0" priority="1">
      <formula>IF($J$16="De contado",TRUE,FALSE)</formula>
    </cfRule>
  </conditionalFormatting>
  <dataValidations count="1">
    <dataValidation type="list" allowBlank="1" showInputMessage="1" showErrorMessage="1" sqref="K17:M17" xr:uid="{5BC83682-C7DE-4F51-8A3C-183E2839103F}">
      <formula1>IF($F$17="Persona Natural",$XFD$5:$XFD$6,$XFD$2:$XFD$6)</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6">
        <x14:dataValidation type="list" allowBlank="1" showInputMessage="1" showErrorMessage="1" xr:uid="{3FAE2DB8-096E-4A2E-BF2F-552D9FAEFF9C}">
          <x14:formula1>
            <xm:f>'Listas desplegables'!$J$2:$J$4</xm:f>
          </x14:formula1>
          <xm:sqref>D5:E5</xm:sqref>
        </x14:dataValidation>
        <x14:dataValidation type="list" allowBlank="1" showInputMessage="1" showErrorMessage="1" xr:uid="{F8466F09-4BDB-41DD-B000-651D28AC5E9C}">
          <x14:formula1>
            <xm:f>'Listas desplegables'!$H$2:$H$3</xm:f>
          </x14:formula1>
          <xm:sqref>F17:H17</xm:sqref>
        </x14:dataValidation>
        <x14:dataValidation type="list" allowBlank="1" showInputMessage="1" showErrorMessage="1" xr:uid="{CE603487-CD42-4462-A67E-CDDC6941201F}">
          <x14:formula1>
            <xm:f>'Listas desplegables'!$G$2:$G$5</xm:f>
          </x14:formula1>
          <xm:sqref>E12:G12 M14:O15</xm:sqref>
        </x14:dataValidation>
        <x14:dataValidation type="list" allowBlank="1" showInputMessage="1" showErrorMessage="1" xr:uid="{A2877AF3-7033-4878-90FF-E27A73F8FD52}">
          <x14:formula1>
            <xm:f>'Listas desplegables'!$F$2:$F$61</xm:f>
          </x14:formula1>
          <xm:sqref>J9</xm:sqref>
        </x14:dataValidation>
        <x14:dataValidation type="list" allowBlank="1" showInputMessage="1" showErrorMessage="1" xr:uid="{E8DFED8E-FD1D-45A7-BDF8-074378C7C0BC}">
          <x14:formula1>
            <xm:f>'Listas desplegables'!$E$2:$E$61</xm:f>
          </x14:formula1>
          <xm:sqref>I9</xm:sqref>
        </x14:dataValidation>
        <x14:dataValidation type="list" allowBlank="1" showInputMessage="1" showErrorMessage="1" xr:uid="{100B8419-A720-4F8A-A2D5-4A4842E9EF02}">
          <x14:formula1>
            <xm:f>'Listas desplegables'!$D$2:$D$25</xm:f>
          </x14:formula1>
          <xm:sqref>H9</xm:sqref>
        </x14:dataValidation>
        <x14:dataValidation type="list" allowBlank="1" showInputMessage="1" showErrorMessage="1" xr:uid="{6B0E9042-CD33-4C5B-B2BC-6485EB7F3BF8}">
          <x14:formula1>
            <xm:f>'Listas desplegables'!$C$2:$C$162</xm:f>
          </x14:formula1>
          <xm:sqref>F9 N9</xm:sqref>
        </x14:dataValidation>
        <x14:dataValidation type="list" allowBlank="1" showInputMessage="1" showErrorMessage="1" xr:uid="{00B826F7-2EFF-4183-985A-05AEDA1C53F3}">
          <x14:formula1>
            <xm:f>'Listas desplegables'!$B$2:$B$13</xm:f>
          </x14:formula1>
          <xm:sqref>E9 M9</xm:sqref>
        </x14:dataValidation>
        <x14:dataValidation type="list" allowBlank="1" showInputMessage="1" showErrorMessage="1" xr:uid="{230B0669-26BA-4005-927A-A13B714DBAF9}">
          <x14:formula1>
            <xm:f>'Listas desplegables'!$A$2:$A$32</xm:f>
          </x14:formula1>
          <xm:sqref>D9 L9</xm:sqref>
        </x14:dataValidation>
        <x14:dataValidation type="list" allowBlank="1" showInputMessage="1" showErrorMessage="1" xr:uid="{AB93D678-E5F2-4911-85E1-11CD7ED507B7}">
          <x14:formula1>
            <xm:f>'Listas desplegables'!$R$2:$R$5</xm:f>
          </x14:formula1>
          <xm:sqref>R16</xm:sqref>
        </x14:dataValidation>
        <x14:dataValidation type="list" allowBlank="1" showInputMessage="1" showErrorMessage="1" xr:uid="{E237E213-AD7A-4F6D-B8C0-7933FDBC374E}">
          <x14:formula1>
            <xm:f>'Listas desplegables'!$S$2:$S$198</xm:f>
          </x14:formula1>
          <xm:sqref>P17</xm:sqref>
        </x14:dataValidation>
        <x14:dataValidation type="list" allowBlank="1" showInputMessage="1" showErrorMessage="1" xr:uid="{B0D6BAF2-9D5B-4433-9A19-6B3AA4E82F65}">
          <x14:formula1>
            <xm:f>'Listas desplegables'!$Q$2:$Q$1081</xm:f>
          </x14:formula1>
          <xm:sqref>L23:L72</xm:sqref>
        </x14:dataValidation>
        <x14:dataValidation type="list" allowBlank="1" showInputMessage="1" showErrorMessage="1" xr:uid="{1DCC080F-FE4D-456F-942F-4F737304D252}">
          <x14:formula1>
            <xm:f>'Listas desplegables'!$K$2:$K$7</xm:f>
          </x14:formula1>
          <xm:sqref>T23:T72</xm:sqref>
        </x14:dataValidation>
        <x14:dataValidation type="list" allowBlank="1" showInputMessage="1" showErrorMessage="1" xr:uid="{50338887-E4E9-443A-A28C-A3F3BC105524}">
          <x14:formula1>
            <xm:f>'Listas desplegables'!$L$2:$L$5</xm:f>
          </x14:formula1>
          <xm:sqref>S23:S72</xm:sqref>
        </x14:dataValidation>
        <x14:dataValidation type="list" allowBlank="1" showInputMessage="1" showErrorMessage="1" xr:uid="{5CEFA235-8DC6-493E-B98A-8731E57988EA}">
          <x14:formula1>
            <xm:f>'Listas desplegables'!$V$2:$V$3</xm:f>
          </x14:formula1>
          <xm:sqref>J16</xm:sqref>
        </x14:dataValidation>
        <x14:dataValidation type="list" allowBlank="1" showInputMessage="1" showErrorMessage="1" xr:uid="{A2A255F2-DFE4-435E-A4C8-5530245D5B15}">
          <x14:formula1>
            <xm:f>'Listas desplegables'!$W$2:$W$11</xm:f>
          </x14:formula1>
          <xm:sqref>F16:H16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324F5-419F-4DF1-8410-56A8FC1C470B}">
  <sheetPr codeName="Hoja9"/>
  <dimension ref="A1:BF20"/>
  <sheetViews>
    <sheetView zoomScale="106" zoomScaleNormal="106" workbookViewId="0">
      <selection activeCell="A2" sqref="A2:XFD16"/>
    </sheetView>
  </sheetViews>
  <sheetFormatPr baseColWidth="10" defaultRowHeight="15" x14ac:dyDescent="0.25"/>
  <cols>
    <col min="1" max="29" width="27.28515625" style="1" customWidth="1"/>
    <col min="30" max="30" width="27.28515625" style="92" customWidth="1"/>
    <col min="31" max="42" width="27.28515625" style="124" customWidth="1"/>
    <col min="43" max="44" width="27.28515625" style="159" customWidth="1"/>
    <col min="45" max="57" width="27.28515625" style="124" customWidth="1"/>
    <col min="58" max="58" width="12.7109375" bestFit="1" customWidth="1"/>
  </cols>
  <sheetData>
    <row r="1" spans="1:58" ht="30" x14ac:dyDescent="0.25">
      <c r="A1" s="4" t="s">
        <v>74</v>
      </c>
      <c r="B1" s="4" t="s">
        <v>1863</v>
      </c>
      <c r="C1" s="4" t="s">
        <v>1850</v>
      </c>
      <c r="D1" s="4" t="s">
        <v>52</v>
      </c>
      <c r="E1" s="4" t="s">
        <v>53</v>
      </c>
      <c r="F1" s="4" t="s">
        <v>54</v>
      </c>
      <c r="G1" s="4" t="s">
        <v>1798</v>
      </c>
      <c r="H1" s="4" t="s">
        <v>1799</v>
      </c>
      <c r="I1" s="4" t="s">
        <v>1800</v>
      </c>
      <c r="J1" s="4" t="s">
        <v>1801</v>
      </c>
      <c r="K1" s="4" t="s">
        <v>55</v>
      </c>
      <c r="L1" s="4" t="s">
        <v>56</v>
      </c>
      <c r="M1" s="4" t="s">
        <v>1802</v>
      </c>
      <c r="N1" s="4" t="s">
        <v>1833</v>
      </c>
      <c r="O1" s="4" t="s">
        <v>1803</v>
      </c>
      <c r="P1" s="4" t="s">
        <v>57</v>
      </c>
      <c r="Q1" s="4" t="s">
        <v>58</v>
      </c>
      <c r="R1" s="4" t="s">
        <v>89</v>
      </c>
      <c r="S1" s="4" t="s">
        <v>90</v>
      </c>
      <c r="T1" s="4" t="s">
        <v>172</v>
      </c>
      <c r="U1" s="4" t="s">
        <v>173</v>
      </c>
      <c r="V1" s="4" t="s">
        <v>174</v>
      </c>
      <c r="W1" s="4" t="s">
        <v>1805</v>
      </c>
      <c r="X1" s="4" t="s">
        <v>1804</v>
      </c>
      <c r="Y1" s="4" t="s">
        <v>2938</v>
      </c>
      <c r="Z1" s="4" t="s">
        <v>1834</v>
      </c>
      <c r="AA1" s="4" t="s">
        <v>1806</v>
      </c>
      <c r="AB1" s="4" t="s">
        <v>1807</v>
      </c>
      <c r="AC1" s="4" t="s">
        <v>1597</v>
      </c>
      <c r="AD1" s="4" t="s">
        <v>1592</v>
      </c>
      <c r="AE1" s="4" t="s">
        <v>1808</v>
      </c>
      <c r="AF1" s="4" t="s">
        <v>1809</v>
      </c>
      <c r="AG1" s="4" t="s">
        <v>1810</v>
      </c>
      <c r="AH1" s="4" t="s">
        <v>1811</v>
      </c>
      <c r="AI1" s="4" t="s">
        <v>1812</v>
      </c>
      <c r="AJ1" s="4" t="s">
        <v>1813</v>
      </c>
      <c r="AK1" s="4" t="s">
        <v>1814</v>
      </c>
      <c r="AL1" s="4" t="s">
        <v>1815</v>
      </c>
      <c r="AM1" s="4" t="s">
        <v>1816</v>
      </c>
      <c r="AN1" s="4" t="s">
        <v>1817</v>
      </c>
      <c r="AO1" s="4" t="s">
        <v>1818</v>
      </c>
      <c r="AP1" s="4" t="s">
        <v>1819</v>
      </c>
      <c r="AQ1" s="4" t="s">
        <v>1860</v>
      </c>
      <c r="AR1" s="4" t="s">
        <v>1861</v>
      </c>
      <c r="AS1" s="4" t="s">
        <v>1835</v>
      </c>
      <c r="AT1" s="4" t="s">
        <v>1836</v>
      </c>
      <c r="AU1" s="4" t="s">
        <v>1820</v>
      </c>
      <c r="AV1" s="4" t="s">
        <v>1821</v>
      </c>
      <c r="AW1" s="4" t="s">
        <v>2939</v>
      </c>
      <c r="AX1" s="4" t="s">
        <v>2940</v>
      </c>
      <c r="AY1" s="4" t="s">
        <v>1822</v>
      </c>
      <c r="AZ1" s="4" t="s">
        <v>1823</v>
      </c>
      <c r="BA1" s="4" t="s">
        <v>1824</v>
      </c>
      <c r="BB1" s="4" t="s">
        <v>1825</v>
      </c>
      <c r="BC1" s="4" t="s">
        <v>1826</v>
      </c>
      <c r="BD1" s="4" t="s">
        <v>1827</v>
      </c>
      <c r="BE1" s="4" t="s">
        <v>73</v>
      </c>
    </row>
    <row r="2" spans="1:58" x14ac:dyDescent="0.25">
      <c r="A2" s="105"/>
      <c r="B2" s="105"/>
      <c r="C2" s="105"/>
      <c r="D2" s="106"/>
      <c r="E2" s="107"/>
      <c r="F2" s="108"/>
      <c r="Z2" s="105"/>
      <c r="AB2" s="105"/>
      <c r="AC2" s="104"/>
      <c r="AD2" s="119"/>
      <c r="AE2" s="123"/>
      <c r="AF2" s="123"/>
      <c r="AG2" s="123"/>
      <c r="AH2" s="123"/>
      <c r="AI2" s="123"/>
      <c r="AJ2" s="123"/>
      <c r="AK2" s="123"/>
      <c r="BF2" s="132"/>
    </row>
    <row r="3" spans="1:58" x14ac:dyDescent="0.25">
      <c r="A3" s="105"/>
      <c r="B3" s="105"/>
      <c r="C3" s="105"/>
      <c r="D3" s="106"/>
      <c r="E3" s="107"/>
      <c r="F3" s="108"/>
      <c r="Z3" s="105"/>
      <c r="AB3" s="105"/>
      <c r="AC3" s="104"/>
      <c r="AD3" s="119"/>
      <c r="AE3" s="123"/>
      <c r="AF3" s="123"/>
      <c r="AG3" s="123"/>
      <c r="AH3" s="123"/>
      <c r="AI3" s="123"/>
      <c r="AJ3" s="123"/>
      <c r="AK3" s="123"/>
    </row>
    <row r="4" spans="1:58" x14ac:dyDescent="0.25">
      <c r="A4" s="105"/>
      <c r="B4" s="105"/>
      <c r="C4" s="105"/>
      <c r="D4" s="106"/>
      <c r="E4" s="107"/>
      <c r="F4" s="108"/>
      <c r="Z4" s="105"/>
      <c r="AB4" s="105"/>
      <c r="AC4" s="104"/>
      <c r="AD4" s="119"/>
      <c r="AE4" s="123"/>
      <c r="AF4" s="123"/>
      <c r="AG4" s="123"/>
      <c r="AH4" s="123"/>
      <c r="AI4" s="123"/>
      <c r="AJ4" s="123"/>
      <c r="AK4" s="123"/>
    </row>
    <row r="5" spans="1:58" x14ac:dyDescent="0.25">
      <c r="A5" s="105"/>
      <c r="B5" s="105"/>
      <c r="C5" s="105"/>
      <c r="D5" s="106"/>
      <c r="E5" s="107"/>
      <c r="F5" s="108"/>
      <c r="AB5" s="105"/>
      <c r="AC5" s="105"/>
      <c r="AD5" s="119"/>
      <c r="AE5" s="123"/>
      <c r="AF5" s="123"/>
      <c r="AG5" s="123"/>
      <c r="AH5" s="123"/>
      <c r="AI5" s="123"/>
      <c r="AJ5" s="123"/>
      <c r="AK5" s="123"/>
    </row>
    <row r="6" spans="1:58" x14ac:dyDescent="0.25">
      <c r="A6" s="105"/>
      <c r="B6" s="105"/>
      <c r="C6" s="105"/>
      <c r="D6" s="106"/>
      <c r="E6" s="107"/>
      <c r="F6" s="108"/>
      <c r="AB6" s="105"/>
      <c r="AC6" s="105"/>
      <c r="AD6" s="119"/>
      <c r="AE6" s="123"/>
      <c r="AF6" s="123"/>
      <c r="AG6" s="123"/>
      <c r="AH6" s="123"/>
      <c r="AI6" s="123"/>
      <c r="AJ6" s="123"/>
      <c r="AK6" s="123"/>
    </row>
    <row r="7" spans="1:58" x14ac:dyDescent="0.25">
      <c r="D7" s="108"/>
      <c r="E7" s="127"/>
      <c r="F7" s="108"/>
    </row>
    <row r="8" spans="1:58" x14ac:dyDescent="0.25">
      <c r="D8" s="108"/>
      <c r="E8" s="127"/>
      <c r="F8" s="108"/>
    </row>
    <row r="9" spans="1:58" x14ac:dyDescent="0.25">
      <c r="D9" s="108"/>
      <c r="E9" s="127"/>
      <c r="F9" s="108"/>
    </row>
    <row r="10" spans="1:58" x14ac:dyDescent="0.25">
      <c r="D10" s="108"/>
      <c r="E10" s="127"/>
      <c r="F10" s="108"/>
    </row>
    <row r="11" spans="1:58" x14ac:dyDescent="0.25">
      <c r="D11" s="108"/>
      <c r="E11" s="127"/>
      <c r="F11" s="108"/>
    </row>
    <row r="12" spans="1:58" x14ac:dyDescent="0.25">
      <c r="D12" s="108"/>
      <c r="E12" s="127"/>
      <c r="F12" s="108"/>
    </row>
    <row r="13" spans="1:58" x14ac:dyDescent="0.25">
      <c r="D13" s="108"/>
      <c r="E13" s="127"/>
      <c r="F13" s="108"/>
    </row>
    <row r="14" spans="1:58" x14ac:dyDescent="0.25">
      <c r="D14" s="108"/>
      <c r="E14" s="127"/>
      <c r="F14" s="108"/>
    </row>
    <row r="15" spans="1:58" x14ac:dyDescent="0.25">
      <c r="D15" s="108"/>
      <c r="E15" s="127"/>
      <c r="F15" s="108"/>
    </row>
    <row r="16" spans="1:58" x14ac:dyDescent="0.25">
      <c r="D16" s="108"/>
      <c r="E16" s="127"/>
      <c r="F16" s="108"/>
    </row>
    <row r="17" spans="4:6" x14ac:dyDescent="0.25">
      <c r="D17" s="108"/>
      <c r="E17" s="127"/>
      <c r="F17" s="108"/>
    </row>
    <row r="18" spans="4:6" x14ac:dyDescent="0.25">
      <c r="D18" s="108"/>
      <c r="E18" s="127"/>
      <c r="F18" s="108"/>
    </row>
    <row r="19" spans="4:6" x14ac:dyDescent="0.25">
      <c r="D19" s="108"/>
      <c r="E19" s="127"/>
      <c r="F19" s="108"/>
    </row>
    <row r="20" spans="4:6" x14ac:dyDescent="0.25">
      <c r="D20" s="108"/>
      <c r="E20" s="127"/>
      <c r="F20" s="10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064D5-729F-4A6A-90BB-1D082E6C0F68}">
  <sheetPr codeName="Hoja10"/>
  <dimension ref="A1:Q1"/>
  <sheetViews>
    <sheetView workbookViewId="0">
      <selection activeCell="A2" sqref="A2:XFD50"/>
    </sheetView>
  </sheetViews>
  <sheetFormatPr baseColWidth="10" defaultRowHeight="15" x14ac:dyDescent="0.25"/>
  <cols>
    <col min="1" max="5" width="10.85546875" style="1"/>
    <col min="6" max="6" width="15" style="108" customWidth="1"/>
    <col min="7" max="7" width="10.85546875" style="92"/>
    <col min="8" max="9" width="10.85546875" style="1"/>
    <col min="10" max="10" width="12.5703125" style="121" bestFit="1" customWidth="1"/>
    <col min="11" max="11" width="15.140625" style="121" bestFit="1" customWidth="1"/>
    <col min="12" max="12" width="11.5703125" style="124" bestFit="1" customWidth="1"/>
    <col min="13" max="13" width="11.5703125" style="121" bestFit="1" customWidth="1"/>
    <col min="14" max="14" width="11.5703125" style="121" customWidth="1"/>
    <col min="15" max="15" width="15.140625" style="121" bestFit="1" customWidth="1"/>
    <col min="16" max="16" width="14.42578125" style="122" customWidth="1"/>
    <col min="17" max="17" width="10.85546875" style="122"/>
  </cols>
  <sheetData>
    <row r="1" spans="1:17" ht="45" x14ac:dyDescent="0.25">
      <c r="A1" s="4" t="s">
        <v>1828</v>
      </c>
      <c r="B1" s="4" t="s">
        <v>1851</v>
      </c>
      <c r="C1" s="4" t="s">
        <v>1852</v>
      </c>
      <c r="D1" s="4" t="s">
        <v>1853</v>
      </c>
      <c r="E1" s="4" t="s">
        <v>1839</v>
      </c>
      <c r="F1" s="4" t="s">
        <v>1840</v>
      </c>
      <c r="G1" s="4" t="s">
        <v>1841</v>
      </c>
      <c r="H1" s="4" t="s">
        <v>1859</v>
      </c>
      <c r="I1" s="4" t="s">
        <v>1858</v>
      </c>
      <c r="J1" s="4" t="s">
        <v>1857</v>
      </c>
      <c r="K1" s="4" t="s">
        <v>1842</v>
      </c>
      <c r="L1" s="4" t="s">
        <v>1847</v>
      </c>
      <c r="M1" s="4" t="s">
        <v>1856</v>
      </c>
      <c r="N1" s="4" t="s">
        <v>2937</v>
      </c>
      <c r="O1" s="4" t="s">
        <v>1843</v>
      </c>
      <c r="P1" s="4" t="s">
        <v>1855</v>
      </c>
      <c r="Q1" s="4" t="s">
        <v>1854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08686-FBDD-4024-8613-8D20ACCC22EF}">
  <sheetPr codeName="Hoja11"/>
  <dimension ref="B1:G2"/>
  <sheetViews>
    <sheetView showGridLines="0" workbookViewId="0">
      <selection activeCell="I14" sqref="I14"/>
    </sheetView>
  </sheetViews>
  <sheetFormatPr baseColWidth="10" defaultColWidth="10.85546875" defaultRowHeight="15" x14ac:dyDescent="0.25"/>
  <cols>
    <col min="1" max="1" width="10.85546875" style="142"/>
    <col min="2" max="2" width="10.85546875" style="150"/>
    <col min="3" max="3" width="10.85546875" style="146"/>
    <col min="4" max="4" width="10.85546875" style="147"/>
    <col min="5" max="5" width="16.42578125" style="148" bestFit="1" customWidth="1"/>
    <col min="6" max="6" width="10.85546875" style="146"/>
    <col min="7" max="7" width="15.140625" style="149" bestFit="1" customWidth="1"/>
    <col min="8" max="16384" width="10.85546875" style="142"/>
  </cols>
  <sheetData>
    <row r="1" spans="2:7" x14ac:dyDescent="0.25">
      <c r="C1" s="143"/>
      <c r="D1" s="143"/>
      <c r="E1" s="143"/>
      <c r="F1" s="143"/>
      <c r="G1" s="143"/>
    </row>
    <row r="2" spans="2:7" ht="25.5" customHeight="1" x14ac:dyDescent="0.25">
      <c r="B2" s="151">
        <v>0</v>
      </c>
      <c r="C2" s="144" t="s">
        <v>74</v>
      </c>
      <c r="D2" s="144" t="s">
        <v>52</v>
      </c>
      <c r="E2" s="144" t="s">
        <v>53</v>
      </c>
      <c r="F2" s="144" t="s">
        <v>1798</v>
      </c>
      <c r="G2" s="144" t="s">
        <v>73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C8342-C69D-461F-9596-0C5DDD37BF75}">
  <sheetPr codeName="Hoja12"/>
  <dimension ref="A1:W2554"/>
  <sheetViews>
    <sheetView zoomScale="90" workbookViewId="0">
      <selection activeCell="I3" sqref="I3"/>
    </sheetView>
  </sheetViews>
  <sheetFormatPr baseColWidth="10" defaultRowHeight="15" x14ac:dyDescent="0.25"/>
  <cols>
    <col min="7" max="7" width="18.5703125" bestFit="1" customWidth="1"/>
    <col min="9" max="9" width="59.85546875" bestFit="1" customWidth="1"/>
    <col min="10" max="10" width="18.28515625" bestFit="1" customWidth="1"/>
    <col min="16" max="16" width="114.85546875" bestFit="1" customWidth="1"/>
    <col min="19" max="19" width="61.42578125" bestFit="1" customWidth="1"/>
    <col min="22" max="22" width="11.85546875" bestFit="1" customWidth="1"/>
  </cols>
  <sheetData>
    <row r="1" spans="1:23" ht="72.599999999999994" customHeight="1" x14ac:dyDescent="0.25">
      <c r="A1" s="244" t="s">
        <v>87</v>
      </c>
      <c r="B1" s="244"/>
      <c r="C1" s="244"/>
      <c r="D1" s="244" t="s">
        <v>88</v>
      </c>
      <c r="E1" s="244"/>
      <c r="F1" s="244"/>
      <c r="G1" s="28" t="s">
        <v>0</v>
      </c>
      <c r="H1" s="29" t="s">
        <v>1</v>
      </c>
      <c r="I1" s="28" t="s">
        <v>2</v>
      </c>
      <c r="J1" s="31" t="s">
        <v>103</v>
      </c>
      <c r="K1" s="32" t="s">
        <v>109</v>
      </c>
      <c r="L1" s="94" t="s">
        <v>113</v>
      </c>
      <c r="M1" s="245" t="s">
        <v>176</v>
      </c>
      <c r="N1" s="246"/>
      <c r="O1" s="246"/>
      <c r="P1" s="246"/>
      <c r="Q1" s="32" t="s">
        <v>1578</v>
      </c>
      <c r="R1" s="99" t="s">
        <v>1593</v>
      </c>
      <c r="S1" s="103" t="s">
        <v>1598</v>
      </c>
      <c r="T1" s="247" t="s">
        <v>1829</v>
      </c>
      <c r="U1" s="247"/>
      <c r="V1" s="103" t="s">
        <v>1830</v>
      </c>
      <c r="W1" s="103" t="s">
        <v>2923</v>
      </c>
    </row>
    <row r="2" spans="1:23" ht="45" x14ac:dyDescent="0.25">
      <c r="A2" s="2">
        <v>1</v>
      </c>
      <c r="B2" s="2" t="s">
        <v>75</v>
      </c>
      <c r="C2" s="2">
        <v>1900</v>
      </c>
      <c r="D2" s="83" t="s">
        <v>116</v>
      </c>
      <c r="E2" s="84" t="s">
        <v>119</v>
      </c>
      <c r="F2" s="84" t="s">
        <v>119</v>
      </c>
      <c r="G2" s="2" t="s">
        <v>2920</v>
      </c>
      <c r="H2" s="30" t="s">
        <v>1866</v>
      </c>
      <c r="I2" s="2" t="s">
        <v>12</v>
      </c>
      <c r="J2" s="2" t="s">
        <v>104</v>
      </c>
      <c r="K2" s="33">
        <v>0.19</v>
      </c>
      <c r="L2" s="95">
        <v>0.16</v>
      </c>
      <c r="M2" s="96" t="s">
        <v>177</v>
      </c>
      <c r="N2" s="96" t="s">
        <v>178</v>
      </c>
      <c r="O2" s="96" t="s">
        <v>179</v>
      </c>
      <c r="P2" s="97" t="s">
        <v>1534</v>
      </c>
      <c r="Q2" s="2" t="s">
        <v>1868</v>
      </c>
      <c r="R2" s="100" t="s">
        <v>66</v>
      </c>
      <c r="S2" t="s">
        <v>1599</v>
      </c>
      <c r="T2" s="2" t="s">
        <v>75</v>
      </c>
      <c r="U2" s="2">
        <v>1</v>
      </c>
      <c r="V2" s="2" t="s">
        <v>1831</v>
      </c>
      <c r="W2" t="s">
        <v>2924</v>
      </c>
    </row>
    <row r="3" spans="1:23" x14ac:dyDescent="0.25">
      <c r="A3" s="2">
        <v>2</v>
      </c>
      <c r="B3" s="2" t="s">
        <v>76</v>
      </c>
      <c r="C3" s="2">
        <f>C2+1</f>
        <v>1901</v>
      </c>
      <c r="D3" s="83" t="s">
        <v>117</v>
      </c>
      <c r="E3" s="83" t="s">
        <v>116</v>
      </c>
      <c r="F3" s="83" t="s">
        <v>116</v>
      </c>
      <c r="G3" s="2" t="s">
        <v>11</v>
      </c>
      <c r="H3" s="30" t="s">
        <v>1867</v>
      </c>
      <c r="I3" s="2" t="s">
        <v>13</v>
      </c>
      <c r="J3" s="2" t="s">
        <v>105</v>
      </c>
      <c r="K3" s="33">
        <v>0.05</v>
      </c>
      <c r="L3" s="95">
        <v>0.08</v>
      </c>
      <c r="M3" s="34">
        <v>1</v>
      </c>
      <c r="N3" s="2" t="s">
        <v>308</v>
      </c>
      <c r="O3" s="2" t="s">
        <v>180</v>
      </c>
      <c r="P3" s="3" t="str">
        <f>IF(AND(M3&lt;&gt;"",N3&lt;&gt;"",O3&lt;&gt;""),M3&amp;"-"&amp;N3&amp;"-"&amp;O3,IF(AND(M3="",N3&lt;&gt;"",O3&lt;&gt;""),N3&amp;"-"&amp;O3,IF(AND(M3&lt;&gt;"",N3="",O3&lt;&gt;""),M3&amp;"-"&amp;O3,IF(AND(M3&lt;&gt;"",N3&lt;&gt;"",O3=""),M3&amp;"-"&amp;N3,IF(AND(M3&lt;&gt;"",N3="",O3=""),M3,"")))))</f>
        <v>1-ACTIVO-CLASE</v>
      </c>
      <c r="Q3" s="2" t="s">
        <v>1869</v>
      </c>
      <c r="R3" s="101" t="s">
        <v>1594</v>
      </c>
      <c r="S3" t="s">
        <v>1600</v>
      </c>
      <c r="T3" s="2" t="s">
        <v>76</v>
      </c>
      <c r="U3" s="2">
        <v>2</v>
      </c>
      <c r="V3" s="2" t="s">
        <v>1832</v>
      </c>
      <c r="W3" t="s">
        <v>2925</v>
      </c>
    </row>
    <row r="4" spans="1:23" x14ac:dyDescent="0.25">
      <c r="A4" s="2">
        <v>3</v>
      </c>
      <c r="B4" s="2" t="s">
        <v>77</v>
      </c>
      <c r="C4" s="2">
        <f t="shared" ref="C4:C67" si="0">C3+1</f>
        <v>1902</v>
      </c>
      <c r="D4" s="83" t="s">
        <v>118</v>
      </c>
      <c r="E4" s="83" t="s">
        <v>117</v>
      </c>
      <c r="F4" s="83" t="s">
        <v>117</v>
      </c>
      <c r="G4" s="2" t="s">
        <v>2921</v>
      </c>
      <c r="I4" s="2" t="s">
        <v>14</v>
      </c>
      <c r="J4" s="2" t="s">
        <v>106</v>
      </c>
      <c r="K4" s="33" t="s">
        <v>2959</v>
      </c>
      <c r="L4" s="95">
        <v>0.04</v>
      </c>
      <c r="M4" s="34">
        <v>11</v>
      </c>
      <c r="N4" s="2" t="s">
        <v>309</v>
      </c>
      <c r="O4" s="2" t="s">
        <v>181</v>
      </c>
      <c r="P4" s="3" t="str">
        <f t="shared" ref="P4:P67" si="1">IF(AND(M4&lt;&gt;"",N4&lt;&gt;"",O4&lt;&gt;""),M4&amp;"-"&amp;N4&amp;"-"&amp;O4,IF(AND(M4="",N4&lt;&gt;"",O4&lt;&gt;""),N4&amp;"-"&amp;O4,IF(AND(M4&lt;&gt;"",N4="",O4&lt;&gt;""),M4&amp;"-"&amp;O4,IF(AND(M4&lt;&gt;"",N4&lt;&gt;"",O4=""),M4&amp;"-"&amp;N4,IF(AND(M4&lt;&gt;"",N4="",O4=""),M4,"")))))</f>
        <v>11-DISPONIBLE-GRUPO</v>
      </c>
      <c r="Q4" s="2" t="s">
        <v>1870</v>
      </c>
      <c r="R4" s="101" t="s">
        <v>1595</v>
      </c>
      <c r="S4" t="s">
        <v>1601</v>
      </c>
      <c r="T4" s="2" t="s">
        <v>77</v>
      </c>
      <c r="U4" s="2">
        <v>3</v>
      </c>
      <c r="W4" t="s">
        <v>2926</v>
      </c>
    </row>
    <row r="5" spans="1:23" x14ac:dyDescent="0.25">
      <c r="A5" s="2">
        <v>4</v>
      </c>
      <c r="B5" s="2" t="s">
        <v>78</v>
      </c>
      <c r="C5" s="2">
        <f t="shared" si="0"/>
        <v>1903</v>
      </c>
      <c r="D5" s="83" t="s">
        <v>120</v>
      </c>
      <c r="E5" s="83" t="s">
        <v>118</v>
      </c>
      <c r="F5" s="83" t="s">
        <v>118</v>
      </c>
      <c r="G5" s="2" t="s">
        <v>2922</v>
      </c>
      <c r="I5" s="2" t="s">
        <v>15</v>
      </c>
      <c r="K5" s="34" t="s">
        <v>110</v>
      </c>
      <c r="L5" s="95"/>
      <c r="M5" s="34">
        <v>1105</v>
      </c>
      <c r="N5" s="2" t="s">
        <v>310</v>
      </c>
      <c r="O5" s="2" t="s">
        <v>182</v>
      </c>
      <c r="P5" s="3" t="str">
        <f t="shared" si="1"/>
        <v>1105-CAJA-CUENTA</v>
      </c>
      <c r="Q5" s="2" t="s">
        <v>1871</v>
      </c>
      <c r="R5" s="101" t="s">
        <v>1596</v>
      </c>
      <c r="S5" t="s">
        <v>1602</v>
      </c>
      <c r="T5" s="2" t="s">
        <v>78</v>
      </c>
      <c r="U5" s="2">
        <v>4</v>
      </c>
      <c r="W5" t="s">
        <v>2927</v>
      </c>
    </row>
    <row r="6" spans="1:23" x14ac:dyDescent="0.25">
      <c r="A6" s="2">
        <v>5</v>
      </c>
      <c r="B6" s="2" t="s">
        <v>79</v>
      </c>
      <c r="C6" s="2">
        <f t="shared" si="0"/>
        <v>1904</v>
      </c>
      <c r="D6" s="83" t="s">
        <v>121</v>
      </c>
      <c r="E6" s="83" t="s">
        <v>120</v>
      </c>
      <c r="F6" s="83" t="s">
        <v>120</v>
      </c>
      <c r="I6" s="2" t="s">
        <v>16</v>
      </c>
      <c r="K6" s="34" t="s">
        <v>111</v>
      </c>
      <c r="M6" s="34">
        <v>110505</v>
      </c>
      <c r="N6" s="2" t="s">
        <v>311</v>
      </c>
      <c r="O6" s="2" t="s">
        <v>183</v>
      </c>
      <c r="P6" s="3" t="str">
        <f t="shared" si="1"/>
        <v>110505-CAJA GENERAL-SUBCUENTA</v>
      </c>
      <c r="Q6" s="2" t="s">
        <v>1872</v>
      </c>
      <c r="S6" t="s">
        <v>1603</v>
      </c>
      <c r="T6" s="2" t="s">
        <v>79</v>
      </c>
      <c r="U6" s="2">
        <v>5</v>
      </c>
      <c r="W6" t="s">
        <v>2928</v>
      </c>
    </row>
    <row r="7" spans="1:23" x14ac:dyDescent="0.25">
      <c r="A7" s="2">
        <v>6</v>
      </c>
      <c r="B7" s="2" t="s">
        <v>80</v>
      </c>
      <c r="C7" s="2">
        <f t="shared" si="0"/>
        <v>1905</v>
      </c>
      <c r="D7" s="83" t="s">
        <v>122</v>
      </c>
      <c r="E7" s="83" t="s">
        <v>121</v>
      </c>
      <c r="F7" s="83" t="s">
        <v>121</v>
      </c>
      <c r="I7" s="2" t="s">
        <v>17</v>
      </c>
      <c r="K7" s="34"/>
      <c r="M7" s="34">
        <v>110510</v>
      </c>
      <c r="N7" s="2" t="s">
        <v>312</v>
      </c>
      <c r="O7" s="2" t="s">
        <v>183</v>
      </c>
      <c r="P7" s="3" t="str">
        <f t="shared" si="1"/>
        <v>110510-CAJAS MENORES-SUBCUENTA</v>
      </c>
      <c r="Q7" s="2" t="s">
        <v>1873</v>
      </c>
      <c r="S7" t="s">
        <v>1604</v>
      </c>
      <c r="T7" s="2" t="s">
        <v>80</v>
      </c>
      <c r="U7" s="2">
        <v>6</v>
      </c>
      <c r="W7" t="s">
        <v>2929</v>
      </c>
    </row>
    <row r="8" spans="1:23" x14ac:dyDescent="0.25">
      <c r="A8" s="2">
        <v>7</v>
      </c>
      <c r="B8" s="2" t="s">
        <v>81</v>
      </c>
      <c r="C8" s="2">
        <f t="shared" si="0"/>
        <v>1906</v>
      </c>
      <c r="D8" s="83" t="s">
        <v>123</v>
      </c>
      <c r="E8" s="83" t="s">
        <v>122</v>
      </c>
      <c r="F8" s="83" t="s">
        <v>122</v>
      </c>
      <c r="I8" s="2" t="s">
        <v>18</v>
      </c>
      <c r="M8" s="34">
        <v>110515</v>
      </c>
      <c r="N8" s="2" t="s">
        <v>313</v>
      </c>
      <c r="O8" s="2" t="s">
        <v>183</v>
      </c>
      <c r="P8" s="3" t="str">
        <f t="shared" si="1"/>
        <v>110515-MONEDA EXTRANJERA-SUBCUENTA</v>
      </c>
      <c r="Q8" s="2" t="s">
        <v>1874</v>
      </c>
      <c r="S8" t="s">
        <v>1605</v>
      </c>
      <c r="T8" s="2" t="s">
        <v>81</v>
      </c>
      <c r="U8" s="2">
        <v>7</v>
      </c>
      <c r="W8" t="s">
        <v>2930</v>
      </c>
    </row>
    <row r="9" spans="1:23" x14ac:dyDescent="0.25">
      <c r="A9" s="2">
        <v>8</v>
      </c>
      <c r="B9" s="2" t="s">
        <v>82</v>
      </c>
      <c r="C9" s="2">
        <f t="shared" si="0"/>
        <v>1907</v>
      </c>
      <c r="D9" s="83" t="s">
        <v>124</v>
      </c>
      <c r="E9" s="83" t="s">
        <v>123</v>
      </c>
      <c r="F9" s="83" t="s">
        <v>123</v>
      </c>
      <c r="I9" s="2" t="s">
        <v>19</v>
      </c>
      <c r="M9" s="34">
        <v>1110</v>
      </c>
      <c r="N9" s="2" t="s">
        <v>314</v>
      </c>
      <c r="O9" s="2" t="s">
        <v>182</v>
      </c>
      <c r="P9" s="3" t="str">
        <f t="shared" si="1"/>
        <v>1110-BANCOS-CUENTA</v>
      </c>
      <c r="Q9" s="2" t="s">
        <v>1875</v>
      </c>
      <c r="S9" t="s">
        <v>1606</v>
      </c>
      <c r="T9" s="2" t="s">
        <v>82</v>
      </c>
      <c r="U9" s="2">
        <v>8</v>
      </c>
      <c r="W9" t="s">
        <v>2931</v>
      </c>
    </row>
    <row r="10" spans="1:23" x14ac:dyDescent="0.25">
      <c r="A10" s="2">
        <v>9</v>
      </c>
      <c r="B10" s="2" t="s">
        <v>83</v>
      </c>
      <c r="C10" s="2">
        <f t="shared" si="0"/>
        <v>1908</v>
      </c>
      <c r="D10" s="83" t="s">
        <v>125</v>
      </c>
      <c r="E10" s="83" t="s">
        <v>124</v>
      </c>
      <c r="F10" s="83" t="s">
        <v>124</v>
      </c>
      <c r="I10" s="2" t="s">
        <v>20</v>
      </c>
      <c r="M10" s="34">
        <v>111005</v>
      </c>
      <c r="N10" s="2" t="s">
        <v>315</v>
      </c>
      <c r="O10" s="2" t="s">
        <v>183</v>
      </c>
      <c r="P10" s="3" t="str">
        <f t="shared" si="1"/>
        <v>111005-MONEDA NACIONAL-SUBCUENTA</v>
      </c>
      <c r="Q10" s="2" t="s">
        <v>1876</v>
      </c>
      <c r="S10" t="s">
        <v>1607</v>
      </c>
      <c r="T10" s="2" t="s">
        <v>83</v>
      </c>
      <c r="U10" s="2">
        <v>9</v>
      </c>
      <c r="W10" t="s">
        <v>2932</v>
      </c>
    </row>
    <row r="11" spans="1:23" x14ac:dyDescent="0.25">
      <c r="A11" s="2">
        <v>10</v>
      </c>
      <c r="B11" s="2" t="s">
        <v>84</v>
      </c>
      <c r="C11" s="2">
        <f t="shared" si="0"/>
        <v>1909</v>
      </c>
      <c r="D11" s="83" t="s">
        <v>92</v>
      </c>
      <c r="E11" s="83" t="s">
        <v>125</v>
      </c>
      <c r="F11" s="83" t="s">
        <v>125</v>
      </c>
      <c r="I11" s="2" t="s">
        <v>21</v>
      </c>
      <c r="M11" s="34">
        <v>11100501</v>
      </c>
      <c r="N11" s="2" t="s">
        <v>184</v>
      </c>
      <c r="O11" s="2" t="s">
        <v>185</v>
      </c>
      <c r="P11" s="3" t="str">
        <f t="shared" si="1"/>
        <v>11100501-BANCO 1-CUENTA AUXILIAR</v>
      </c>
      <c r="Q11" s="2" t="s">
        <v>1877</v>
      </c>
      <c r="S11" t="s">
        <v>1608</v>
      </c>
      <c r="T11" s="2" t="s">
        <v>84</v>
      </c>
      <c r="U11" s="2">
        <v>10</v>
      </c>
      <c r="W11" t="s">
        <v>2933</v>
      </c>
    </row>
    <row r="12" spans="1:23" x14ac:dyDescent="0.25">
      <c r="A12" s="2">
        <v>11</v>
      </c>
      <c r="B12" s="2" t="s">
        <v>85</v>
      </c>
      <c r="C12" s="2">
        <f t="shared" si="0"/>
        <v>1910</v>
      </c>
      <c r="D12" s="83" t="s">
        <v>93</v>
      </c>
      <c r="E12" s="83" t="s">
        <v>92</v>
      </c>
      <c r="F12" s="83" t="s">
        <v>92</v>
      </c>
      <c r="I12" s="2" t="s">
        <v>22</v>
      </c>
      <c r="M12" s="34">
        <v>11100501</v>
      </c>
      <c r="N12" s="2" t="s">
        <v>186</v>
      </c>
      <c r="O12" s="2" t="s">
        <v>185</v>
      </c>
      <c r="P12" s="3" t="str">
        <f t="shared" si="1"/>
        <v>11100501-BANCO 2-CUENTA AUXILIAR</v>
      </c>
      <c r="Q12" s="2" t="s">
        <v>1878</v>
      </c>
      <c r="S12" t="s">
        <v>1609</v>
      </c>
      <c r="T12" s="2" t="s">
        <v>85</v>
      </c>
      <c r="U12" s="2">
        <v>11</v>
      </c>
    </row>
    <row r="13" spans="1:23" x14ac:dyDescent="0.25">
      <c r="A13" s="2">
        <v>12</v>
      </c>
      <c r="B13" s="2" t="s">
        <v>86</v>
      </c>
      <c r="C13" s="2">
        <f t="shared" si="0"/>
        <v>1911</v>
      </c>
      <c r="D13" s="83" t="s">
        <v>94</v>
      </c>
      <c r="E13" s="83" t="s">
        <v>93</v>
      </c>
      <c r="F13" s="83" t="s">
        <v>93</v>
      </c>
      <c r="I13" s="2" t="s">
        <v>23</v>
      </c>
      <c r="M13" s="34">
        <v>111010</v>
      </c>
      <c r="N13" s="2" t="s">
        <v>313</v>
      </c>
      <c r="O13" s="2" t="s">
        <v>183</v>
      </c>
      <c r="P13" s="3" t="str">
        <f t="shared" si="1"/>
        <v>111010-MONEDA EXTRANJERA-SUBCUENTA</v>
      </c>
      <c r="Q13" s="2" t="s">
        <v>1879</v>
      </c>
      <c r="S13" t="s">
        <v>1610</v>
      </c>
      <c r="T13" s="2" t="s">
        <v>86</v>
      </c>
      <c r="U13" s="2">
        <v>12</v>
      </c>
    </row>
    <row r="14" spans="1:23" x14ac:dyDescent="0.25">
      <c r="A14" s="2">
        <v>13</v>
      </c>
      <c r="B14" s="2"/>
      <c r="C14" s="2">
        <f t="shared" si="0"/>
        <v>1912</v>
      </c>
      <c r="D14" s="83" t="s">
        <v>95</v>
      </c>
      <c r="E14" s="83" t="s">
        <v>94</v>
      </c>
      <c r="F14" s="83" t="s">
        <v>94</v>
      </c>
      <c r="I14" s="2" t="s">
        <v>24</v>
      </c>
      <c r="M14" s="34">
        <v>1115</v>
      </c>
      <c r="N14" s="2" t="s">
        <v>316</v>
      </c>
      <c r="O14" s="2" t="s">
        <v>182</v>
      </c>
      <c r="P14" s="3" t="str">
        <f t="shared" si="1"/>
        <v>1115-REMESAS EN TRANSITO-CUENTA</v>
      </c>
      <c r="Q14" s="2" t="s">
        <v>1880</v>
      </c>
      <c r="S14" t="s">
        <v>1611</v>
      </c>
    </row>
    <row r="15" spans="1:23" x14ac:dyDescent="0.25">
      <c r="A15" s="2">
        <v>14</v>
      </c>
      <c r="B15" s="2"/>
      <c r="C15" s="2">
        <f t="shared" si="0"/>
        <v>1913</v>
      </c>
      <c r="D15" s="83" t="s">
        <v>96</v>
      </c>
      <c r="E15" s="83" t="s">
        <v>95</v>
      </c>
      <c r="F15" s="83" t="s">
        <v>95</v>
      </c>
      <c r="I15" s="2" t="s">
        <v>25</v>
      </c>
      <c r="M15" s="34">
        <v>111505</v>
      </c>
      <c r="N15" s="2" t="s">
        <v>315</v>
      </c>
      <c r="O15" s="2" t="s">
        <v>183</v>
      </c>
      <c r="P15" s="3" t="str">
        <f t="shared" si="1"/>
        <v>111505-MONEDA NACIONAL-SUBCUENTA</v>
      </c>
      <c r="Q15" s="2" t="s">
        <v>1881</v>
      </c>
      <c r="S15" t="s">
        <v>1612</v>
      </c>
    </row>
    <row r="16" spans="1:23" x14ac:dyDescent="0.25">
      <c r="A16" s="2">
        <v>15</v>
      </c>
      <c r="B16" s="2"/>
      <c r="C16" s="2">
        <f t="shared" si="0"/>
        <v>1914</v>
      </c>
      <c r="D16" s="83" t="s">
        <v>97</v>
      </c>
      <c r="E16" s="83" t="s">
        <v>96</v>
      </c>
      <c r="F16" s="83" t="s">
        <v>96</v>
      </c>
      <c r="I16" s="2" t="s">
        <v>26</v>
      </c>
      <c r="M16" s="34">
        <v>111510</v>
      </c>
      <c r="N16" s="2" t="s">
        <v>313</v>
      </c>
      <c r="O16" s="2" t="s">
        <v>183</v>
      </c>
      <c r="P16" s="3" t="str">
        <f t="shared" si="1"/>
        <v>111510-MONEDA EXTRANJERA-SUBCUENTA</v>
      </c>
      <c r="Q16" s="2" t="s">
        <v>1882</v>
      </c>
      <c r="S16" t="s">
        <v>1613</v>
      </c>
    </row>
    <row r="17" spans="1:19" x14ac:dyDescent="0.25">
      <c r="A17" s="2">
        <v>16</v>
      </c>
      <c r="B17" s="2"/>
      <c r="C17" s="2">
        <f t="shared" si="0"/>
        <v>1915</v>
      </c>
      <c r="D17" s="83" t="s">
        <v>98</v>
      </c>
      <c r="E17" s="83" t="s">
        <v>97</v>
      </c>
      <c r="F17" s="83" t="s">
        <v>97</v>
      </c>
      <c r="I17" s="2" t="s">
        <v>27</v>
      </c>
      <c r="M17" s="34">
        <v>1120</v>
      </c>
      <c r="N17" s="2" t="s">
        <v>317</v>
      </c>
      <c r="O17" s="2" t="s">
        <v>182</v>
      </c>
      <c r="P17" s="3" t="str">
        <f t="shared" si="1"/>
        <v>1120-CUENTAS DE AHORRO-CUENTA</v>
      </c>
      <c r="Q17" s="2" t="s">
        <v>1883</v>
      </c>
      <c r="S17" t="s">
        <v>1614</v>
      </c>
    </row>
    <row r="18" spans="1:19" x14ac:dyDescent="0.25">
      <c r="A18" s="2">
        <v>17</v>
      </c>
      <c r="B18" s="2"/>
      <c r="C18" s="2">
        <f t="shared" si="0"/>
        <v>1916</v>
      </c>
      <c r="D18" s="83" t="s">
        <v>99</v>
      </c>
      <c r="E18" s="83" t="s">
        <v>98</v>
      </c>
      <c r="F18" s="83" t="s">
        <v>98</v>
      </c>
      <c r="I18" s="2" t="s">
        <v>28</v>
      </c>
      <c r="M18" s="34">
        <v>112005</v>
      </c>
      <c r="N18" s="2" t="s">
        <v>314</v>
      </c>
      <c r="O18" s="2" t="s">
        <v>183</v>
      </c>
      <c r="P18" s="3" t="str">
        <f t="shared" si="1"/>
        <v>112005-BANCOS-SUBCUENTA</v>
      </c>
      <c r="Q18" s="2" t="s">
        <v>1884</v>
      </c>
      <c r="S18" t="s">
        <v>1615</v>
      </c>
    </row>
    <row r="19" spans="1:19" x14ac:dyDescent="0.25">
      <c r="A19" s="2">
        <v>18</v>
      </c>
      <c r="B19" s="2"/>
      <c r="C19" s="2">
        <f t="shared" si="0"/>
        <v>1917</v>
      </c>
      <c r="D19" s="83" t="s">
        <v>100</v>
      </c>
      <c r="E19" s="83" t="s">
        <v>99</v>
      </c>
      <c r="F19" s="83" t="s">
        <v>99</v>
      </c>
      <c r="I19" s="2" t="s">
        <v>29</v>
      </c>
      <c r="M19" s="34">
        <v>11200501</v>
      </c>
      <c r="N19" s="2" t="s">
        <v>184</v>
      </c>
      <c r="O19" s="2" t="s">
        <v>185</v>
      </c>
      <c r="P19" s="3" t="str">
        <f t="shared" si="1"/>
        <v>11200501-BANCO 1-CUENTA AUXILIAR</v>
      </c>
      <c r="Q19" s="2" t="s">
        <v>1885</v>
      </c>
      <c r="S19" t="s">
        <v>1616</v>
      </c>
    </row>
    <row r="20" spans="1:19" x14ac:dyDescent="0.25">
      <c r="A20" s="2">
        <v>19</v>
      </c>
      <c r="B20" s="2"/>
      <c r="C20" s="2">
        <f t="shared" si="0"/>
        <v>1918</v>
      </c>
      <c r="D20" s="83" t="s">
        <v>101</v>
      </c>
      <c r="E20" s="83" t="s">
        <v>100</v>
      </c>
      <c r="F20" s="83" t="s">
        <v>100</v>
      </c>
      <c r="I20" s="2" t="s">
        <v>30</v>
      </c>
      <c r="M20" s="34">
        <v>11200502</v>
      </c>
      <c r="N20" s="2" t="s">
        <v>186</v>
      </c>
      <c r="O20" s="2" t="s">
        <v>185</v>
      </c>
      <c r="P20" s="3" t="str">
        <f t="shared" si="1"/>
        <v>11200502-BANCO 2-CUENTA AUXILIAR</v>
      </c>
      <c r="Q20" s="2" t="s">
        <v>1886</v>
      </c>
      <c r="S20" t="s">
        <v>1617</v>
      </c>
    </row>
    <row r="21" spans="1:19" x14ac:dyDescent="0.25">
      <c r="A21" s="2">
        <v>20</v>
      </c>
      <c r="B21" s="2"/>
      <c r="C21" s="2">
        <f t="shared" si="0"/>
        <v>1919</v>
      </c>
      <c r="D21" s="83" t="s">
        <v>126</v>
      </c>
      <c r="E21" s="83" t="s">
        <v>101</v>
      </c>
      <c r="F21" s="83" t="s">
        <v>101</v>
      </c>
      <c r="I21" s="2" t="s">
        <v>31</v>
      </c>
      <c r="M21" s="34">
        <v>112010</v>
      </c>
      <c r="N21" s="2" t="s">
        <v>318</v>
      </c>
      <c r="O21" s="2" t="s">
        <v>183</v>
      </c>
      <c r="P21" s="3" t="str">
        <f t="shared" si="1"/>
        <v>112010-CORPORACIONES DE AHORRO Y VIVIENDA-SUBCUENTA</v>
      </c>
      <c r="Q21" s="2" t="s">
        <v>1887</v>
      </c>
      <c r="S21" t="s">
        <v>1618</v>
      </c>
    </row>
    <row r="22" spans="1:19" x14ac:dyDescent="0.25">
      <c r="A22" s="2">
        <v>21</v>
      </c>
      <c r="B22" s="2"/>
      <c r="C22" s="2">
        <f t="shared" si="0"/>
        <v>1920</v>
      </c>
      <c r="D22" s="83" t="s">
        <v>127</v>
      </c>
      <c r="E22" s="83" t="s">
        <v>126</v>
      </c>
      <c r="F22" s="83" t="s">
        <v>126</v>
      </c>
      <c r="I22" s="2" t="s">
        <v>32</v>
      </c>
      <c r="M22" s="34">
        <v>12</v>
      </c>
      <c r="N22" s="2" t="s">
        <v>319</v>
      </c>
      <c r="O22" s="2" t="s">
        <v>181</v>
      </c>
      <c r="P22" s="3" t="str">
        <f t="shared" si="1"/>
        <v>12-INVERSIONES-GRUPO</v>
      </c>
      <c r="Q22" s="2" t="s">
        <v>1888</v>
      </c>
      <c r="S22" t="s">
        <v>1619</v>
      </c>
    </row>
    <row r="23" spans="1:19" x14ac:dyDescent="0.25">
      <c r="A23" s="2">
        <v>22</v>
      </c>
      <c r="B23" s="2"/>
      <c r="C23" s="2">
        <f t="shared" si="0"/>
        <v>1921</v>
      </c>
      <c r="D23" s="83" t="s">
        <v>128</v>
      </c>
      <c r="E23" s="83" t="s">
        <v>127</v>
      </c>
      <c r="F23" s="83" t="s">
        <v>127</v>
      </c>
      <c r="I23" s="2" t="s">
        <v>33</v>
      </c>
      <c r="M23" s="34">
        <v>1205</v>
      </c>
      <c r="N23" s="2" t="s">
        <v>320</v>
      </c>
      <c r="O23" s="2" t="s">
        <v>182</v>
      </c>
      <c r="P23" s="3" t="str">
        <f t="shared" si="1"/>
        <v>1205-ACCIONES-CUENTA</v>
      </c>
      <c r="Q23" s="2" t="s">
        <v>1889</v>
      </c>
      <c r="S23" t="s">
        <v>1620</v>
      </c>
    </row>
    <row r="24" spans="1:19" x14ac:dyDescent="0.25">
      <c r="A24" s="2">
        <v>23</v>
      </c>
      <c r="B24" s="2"/>
      <c r="C24" s="2">
        <f t="shared" si="0"/>
        <v>1922</v>
      </c>
      <c r="D24" s="83" t="s">
        <v>129</v>
      </c>
      <c r="E24" s="83" t="s">
        <v>128</v>
      </c>
      <c r="F24" s="83" t="s">
        <v>128</v>
      </c>
      <c r="I24" s="2" t="s">
        <v>34</v>
      </c>
      <c r="M24" s="34">
        <v>1210</v>
      </c>
      <c r="N24" s="2" t="s">
        <v>321</v>
      </c>
      <c r="O24" s="2" t="s">
        <v>182</v>
      </c>
      <c r="P24" s="3" t="str">
        <f t="shared" si="1"/>
        <v>1210-CUOTAS O PARTES DE INTERES SOCIAL-CUENTA</v>
      </c>
      <c r="Q24" s="2" t="s">
        <v>1890</v>
      </c>
      <c r="S24" t="s">
        <v>1621</v>
      </c>
    </row>
    <row r="25" spans="1:19" x14ac:dyDescent="0.25">
      <c r="A25" s="2">
        <v>24</v>
      </c>
      <c r="B25" s="2"/>
      <c r="C25" s="2">
        <f t="shared" si="0"/>
        <v>1923</v>
      </c>
      <c r="D25" s="83" t="s">
        <v>130</v>
      </c>
      <c r="E25" s="83" t="s">
        <v>129</v>
      </c>
      <c r="F25" s="83" t="s">
        <v>129</v>
      </c>
      <c r="I25" s="2" t="s">
        <v>35</v>
      </c>
      <c r="M25" s="34">
        <v>1215</v>
      </c>
      <c r="N25" s="2" t="s">
        <v>322</v>
      </c>
      <c r="O25" s="2" t="s">
        <v>182</v>
      </c>
      <c r="P25" s="3" t="str">
        <f t="shared" si="1"/>
        <v>1215-BONOS-CUENTA</v>
      </c>
      <c r="Q25" s="2" t="s">
        <v>1891</v>
      </c>
      <c r="S25" t="s">
        <v>1622</v>
      </c>
    </row>
    <row r="26" spans="1:19" x14ac:dyDescent="0.25">
      <c r="A26" s="2">
        <v>25</v>
      </c>
      <c r="B26" s="2"/>
      <c r="C26" s="2">
        <f t="shared" si="0"/>
        <v>1924</v>
      </c>
      <c r="D26" s="27"/>
      <c r="E26" s="83" t="s">
        <v>130</v>
      </c>
      <c r="F26" s="83" t="s">
        <v>130</v>
      </c>
      <c r="I26" s="2" t="s">
        <v>36</v>
      </c>
      <c r="M26" s="34">
        <v>121595</v>
      </c>
      <c r="N26" s="2" t="s">
        <v>323</v>
      </c>
      <c r="O26" s="2" t="s">
        <v>183</v>
      </c>
      <c r="P26" s="3" t="str">
        <f t="shared" si="1"/>
        <v>121595-OTROS-SUBCUENTA</v>
      </c>
      <c r="Q26" s="2" t="s">
        <v>1892</v>
      </c>
      <c r="S26" t="s">
        <v>1623</v>
      </c>
    </row>
    <row r="27" spans="1:19" x14ac:dyDescent="0.25">
      <c r="A27" s="2">
        <v>26</v>
      </c>
      <c r="B27" s="2"/>
      <c r="C27" s="2">
        <f t="shared" si="0"/>
        <v>1925</v>
      </c>
      <c r="D27" s="27"/>
      <c r="E27" s="83" t="s">
        <v>131</v>
      </c>
      <c r="F27" s="83" t="s">
        <v>131</v>
      </c>
      <c r="I27" s="2" t="s">
        <v>37</v>
      </c>
      <c r="M27" s="34">
        <v>1220</v>
      </c>
      <c r="N27" s="2" t="s">
        <v>324</v>
      </c>
      <c r="O27" s="2" t="s">
        <v>182</v>
      </c>
      <c r="P27" s="3" t="str">
        <f t="shared" si="1"/>
        <v>1220-CEDULAS-CUENTA</v>
      </c>
      <c r="Q27" s="2" t="s">
        <v>1893</v>
      </c>
      <c r="S27" t="s">
        <v>1624</v>
      </c>
    </row>
    <row r="28" spans="1:19" x14ac:dyDescent="0.25">
      <c r="A28" s="2">
        <v>27</v>
      </c>
      <c r="B28" s="2"/>
      <c r="C28" s="2">
        <f t="shared" si="0"/>
        <v>1926</v>
      </c>
      <c r="D28" s="27"/>
      <c r="E28" s="83" t="s">
        <v>132</v>
      </c>
      <c r="F28" s="83" t="s">
        <v>132</v>
      </c>
      <c r="I28" s="2" t="s">
        <v>38</v>
      </c>
      <c r="M28" s="34">
        <v>122005</v>
      </c>
      <c r="N28" s="2" t="s">
        <v>325</v>
      </c>
      <c r="O28" s="2" t="s">
        <v>183</v>
      </c>
      <c r="P28" s="3" t="str">
        <f t="shared" si="1"/>
        <v>122005-CEDULAS DE CAPITALIZACION-SUBCUENTA</v>
      </c>
      <c r="Q28" s="2" t="s">
        <v>1894</v>
      </c>
      <c r="S28" t="s">
        <v>1625</v>
      </c>
    </row>
    <row r="29" spans="1:19" x14ac:dyDescent="0.25">
      <c r="A29" s="2">
        <v>28</v>
      </c>
      <c r="B29" s="2"/>
      <c r="C29" s="2">
        <f t="shared" si="0"/>
        <v>1927</v>
      </c>
      <c r="D29" s="27"/>
      <c r="E29" s="83" t="s">
        <v>133</v>
      </c>
      <c r="F29" s="83" t="s">
        <v>133</v>
      </c>
      <c r="I29" s="2" t="s">
        <v>39</v>
      </c>
      <c r="M29" s="34">
        <v>122010</v>
      </c>
      <c r="N29" s="2" t="s">
        <v>326</v>
      </c>
      <c r="O29" s="2" t="s">
        <v>183</v>
      </c>
      <c r="P29" s="3" t="str">
        <f t="shared" si="1"/>
        <v>122010-CEDULAS HIPOTECARIAS-SUBCUENTA</v>
      </c>
      <c r="Q29" s="2" t="s">
        <v>1895</v>
      </c>
      <c r="S29" t="s">
        <v>1626</v>
      </c>
    </row>
    <row r="30" spans="1:19" x14ac:dyDescent="0.25">
      <c r="A30" s="2">
        <v>29</v>
      </c>
      <c r="B30" s="2"/>
      <c r="C30" s="2">
        <f t="shared" si="0"/>
        <v>1928</v>
      </c>
      <c r="D30" s="27"/>
      <c r="E30" s="83" t="s">
        <v>134</v>
      </c>
      <c r="F30" s="83" t="s">
        <v>134</v>
      </c>
      <c r="I30" s="2" t="s">
        <v>40</v>
      </c>
      <c r="M30" s="34">
        <v>122015</v>
      </c>
      <c r="N30" s="2" t="s">
        <v>327</v>
      </c>
      <c r="O30" s="2" t="s">
        <v>183</v>
      </c>
      <c r="P30" s="3" t="str">
        <f t="shared" si="1"/>
        <v>122015-CEDULAS DE INVERSION-SUBCUENTA</v>
      </c>
      <c r="Q30" s="2" t="s">
        <v>1896</v>
      </c>
      <c r="S30" t="s">
        <v>1627</v>
      </c>
    </row>
    <row r="31" spans="1:19" x14ac:dyDescent="0.25">
      <c r="A31" s="2">
        <v>30</v>
      </c>
      <c r="B31" s="2"/>
      <c r="C31" s="2">
        <f t="shared" si="0"/>
        <v>1929</v>
      </c>
      <c r="D31" s="27"/>
      <c r="E31" s="83" t="s">
        <v>135</v>
      </c>
      <c r="F31" s="83" t="s">
        <v>135</v>
      </c>
      <c r="I31" s="2" t="s">
        <v>41</v>
      </c>
      <c r="M31" s="34">
        <v>122095</v>
      </c>
      <c r="N31" s="2" t="s">
        <v>328</v>
      </c>
      <c r="O31" s="2" t="s">
        <v>183</v>
      </c>
      <c r="P31" s="3" t="str">
        <f t="shared" si="1"/>
        <v>122095-OTRAS-SUBCUENTA</v>
      </c>
      <c r="Q31" s="2" t="s">
        <v>1897</v>
      </c>
      <c r="S31" t="s">
        <v>1628</v>
      </c>
    </row>
    <row r="32" spans="1:19" x14ac:dyDescent="0.25">
      <c r="A32" s="2">
        <v>31</v>
      </c>
      <c r="B32" s="2"/>
      <c r="C32" s="2">
        <f t="shared" si="0"/>
        <v>1930</v>
      </c>
      <c r="D32" s="27"/>
      <c r="E32" s="83" t="s">
        <v>136</v>
      </c>
      <c r="F32" s="83" t="s">
        <v>136</v>
      </c>
      <c r="I32" s="2" t="s">
        <v>42</v>
      </c>
      <c r="M32" s="34">
        <v>1225</v>
      </c>
      <c r="N32" s="2" t="s">
        <v>329</v>
      </c>
      <c r="O32" s="2" t="s">
        <v>182</v>
      </c>
      <c r="P32" s="3" t="str">
        <f t="shared" si="1"/>
        <v>1225-CERTIFICADOS-CUENTA</v>
      </c>
      <c r="Q32" s="2" t="s">
        <v>1898</v>
      </c>
      <c r="S32" t="s">
        <v>1629</v>
      </c>
    </row>
    <row r="33" spans="1:19" x14ac:dyDescent="0.25">
      <c r="A33" s="2"/>
      <c r="B33" s="2"/>
      <c r="C33" s="2">
        <f t="shared" si="0"/>
        <v>1931</v>
      </c>
      <c r="D33" s="27"/>
      <c r="E33" s="83" t="s">
        <v>137</v>
      </c>
      <c r="F33" s="83" t="s">
        <v>137</v>
      </c>
      <c r="I33" s="2" t="s">
        <v>43</v>
      </c>
      <c r="M33" s="34">
        <v>122505</v>
      </c>
      <c r="N33" s="2" t="s">
        <v>330</v>
      </c>
      <c r="O33" s="2" t="s">
        <v>183</v>
      </c>
      <c r="P33" s="3" t="str">
        <f t="shared" si="1"/>
        <v>122505-CERTIFICADOS DE DEPOSITO A TERMINO (C.D.T.)-SUBCUENTA</v>
      </c>
      <c r="Q33" s="2" t="s">
        <v>1899</v>
      </c>
      <c r="S33" t="s">
        <v>1630</v>
      </c>
    </row>
    <row r="34" spans="1:19" x14ac:dyDescent="0.25">
      <c r="A34" s="2"/>
      <c r="B34" s="2"/>
      <c r="C34" s="2">
        <f t="shared" si="0"/>
        <v>1932</v>
      </c>
      <c r="D34" s="27"/>
      <c r="E34" s="83" t="s">
        <v>138</v>
      </c>
      <c r="F34" s="83" t="s">
        <v>138</v>
      </c>
      <c r="I34" s="2" t="s">
        <v>44</v>
      </c>
      <c r="M34" s="34">
        <v>122510</v>
      </c>
      <c r="N34" s="2" t="s">
        <v>331</v>
      </c>
      <c r="O34" s="2" t="s">
        <v>183</v>
      </c>
      <c r="P34" s="3" t="str">
        <f t="shared" si="1"/>
        <v>122510-CERTIFICADOS DE DEPOSITO DE AHORRO-SUBCUENTA</v>
      </c>
      <c r="Q34" s="2" t="s">
        <v>1900</v>
      </c>
      <c r="S34" t="s">
        <v>1631</v>
      </c>
    </row>
    <row r="35" spans="1:19" x14ac:dyDescent="0.25">
      <c r="A35" s="2"/>
      <c r="B35" s="2"/>
      <c r="C35" s="2">
        <f t="shared" si="0"/>
        <v>1933</v>
      </c>
      <c r="D35" s="27"/>
      <c r="E35" s="83" t="s">
        <v>139</v>
      </c>
      <c r="F35" s="83" t="s">
        <v>139</v>
      </c>
      <c r="I35" s="2" t="s">
        <v>45</v>
      </c>
      <c r="M35" s="34">
        <v>122515</v>
      </c>
      <c r="N35" s="2" t="s">
        <v>332</v>
      </c>
      <c r="O35" s="2" t="s">
        <v>183</v>
      </c>
      <c r="P35" s="3" t="str">
        <f t="shared" si="1"/>
        <v>122515-CERTIFICADOS DE AHORRO DE VALOR CONSTANTE (C.A.V.C.)-SUBCUENTA</v>
      </c>
      <c r="Q35" s="2" t="s">
        <v>1901</v>
      </c>
      <c r="S35" t="s">
        <v>1632</v>
      </c>
    </row>
    <row r="36" spans="1:19" x14ac:dyDescent="0.25">
      <c r="A36" s="2"/>
      <c r="B36" s="2"/>
      <c r="C36" s="2">
        <f t="shared" si="0"/>
        <v>1934</v>
      </c>
      <c r="D36" s="27"/>
      <c r="E36" s="83" t="s">
        <v>140</v>
      </c>
      <c r="F36" s="83" t="s">
        <v>140</v>
      </c>
      <c r="I36" s="2" t="s">
        <v>46</v>
      </c>
      <c r="M36" s="34">
        <v>122520</v>
      </c>
      <c r="N36" s="2" t="s">
        <v>333</v>
      </c>
      <c r="O36" s="2" t="s">
        <v>183</v>
      </c>
      <c r="P36" s="2" t="str">
        <f t="shared" si="1"/>
        <v>122520-CERTIFICADOS DE CAMBIO-SUBCUENTA</v>
      </c>
      <c r="Q36" s="2" t="s">
        <v>1902</v>
      </c>
      <c r="S36" t="s">
        <v>1633</v>
      </c>
    </row>
    <row r="37" spans="1:19" x14ac:dyDescent="0.25">
      <c r="A37" s="2"/>
      <c r="B37" s="2"/>
      <c r="C37" s="2">
        <f t="shared" si="0"/>
        <v>1935</v>
      </c>
      <c r="D37" s="27"/>
      <c r="E37" s="83" t="s">
        <v>141</v>
      </c>
      <c r="F37" s="83" t="s">
        <v>141</v>
      </c>
      <c r="I37" s="2" t="s">
        <v>47</v>
      </c>
      <c r="M37" s="34">
        <v>122525</v>
      </c>
      <c r="N37" s="2" t="s">
        <v>334</v>
      </c>
      <c r="O37" s="2" t="s">
        <v>183</v>
      </c>
      <c r="P37" s="2" t="str">
        <f t="shared" si="1"/>
        <v>122525-CERTIFICADOS CAFETEROS VALORIZABLES-SUBCUENTA</v>
      </c>
      <c r="Q37" t="s">
        <v>1903</v>
      </c>
      <c r="S37" t="s">
        <v>1634</v>
      </c>
    </row>
    <row r="38" spans="1:19" x14ac:dyDescent="0.25">
      <c r="A38" s="2"/>
      <c r="B38" s="2"/>
      <c r="C38" s="2">
        <f t="shared" si="0"/>
        <v>1936</v>
      </c>
      <c r="D38" s="27"/>
      <c r="E38" s="83" t="s">
        <v>142</v>
      </c>
      <c r="F38" s="83" t="s">
        <v>142</v>
      </c>
      <c r="I38" s="2" t="s">
        <v>48</v>
      </c>
      <c r="M38" s="34">
        <v>122530</v>
      </c>
      <c r="N38" s="2" t="s">
        <v>335</v>
      </c>
      <c r="O38" s="2" t="s">
        <v>183</v>
      </c>
      <c r="P38" s="2" t="str">
        <f t="shared" si="1"/>
        <v>122530-CERTIFICADOS ELECTRICOS VALORIZABLES (C.E.V.)-SUBCUENTA</v>
      </c>
      <c r="Q38" t="s">
        <v>1904</v>
      </c>
      <c r="S38" t="s">
        <v>1635</v>
      </c>
    </row>
    <row r="39" spans="1:19" x14ac:dyDescent="0.25">
      <c r="A39" s="2"/>
      <c r="B39" s="2"/>
      <c r="C39" s="2">
        <f t="shared" si="0"/>
        <v>1937</v>
      </c>
      <c r="D39" s="27"/>
      <c r="E39" s="83" t="s">
        <v>143</v>
      </c>
      <c r="F39" s="83" t="s">
        <v>143</v>
      </c>
      <c r="I39" s="2" t="s">
        <v>49</v>
      </c>
      <c r="M39" s="34">
        <v>122535</v>
      </c>
      <c r="N39" s="2" t="s">
        <v>336</v>
      </c>
      <c r="O39" s="2" t="s">
        <v>183</v>
      </c>
      <c r="P39" s="2" t="str">
        <f t="shared" si="1"/>
        <v>122535-CERTIFICADOS DE REEMBOLSO TRIBUTARIO (C.E.R.T.)-SUBCUENTA</v>
      </c>
      <c r="Q39" t="s">
        <v>1905</v>
      </c>
      <c r="S39" t="s">
        <v>1636</v>
      </c>
    </row>
    <row r="40" spans="1:19" x14ac:dyDescent="0.25">
      <c r="A40" s="2"/>
      <c r="B40" s="2"/>
      <c r="C40" s="2">
        <f t="shared" si="0"/>
        <v>1938</v>
      </c>
      <c r="D40" s="27"/>
      <c r="E40" s="83" t="s">
        <v>144</v>
      </c>
      <c r="F40" s="83" t="s">
        <v>144</v>
      </c>
      <c r="I40" s="2" t="s">
        <v>50</v>
      </c>
      <c r="M40" s="34">
        <v>122540</v>
      </c>
      <c r="N40" s="2" t="s">
        <v>337</v>
      </c>
      <c r="O40" s="2" t="s">
        <v>183</v>
      </c>
      <c r="P40" s="2" t="str">
        <f t="shared" si="1"/>
        <v>122540-CERTIFICADOS DE DESARROLLO TURISTICO-SUBCUENTA</v>
      </c>
      <c r="Q40" t="s">
        <v>1906</v>
      </c>
      <c r="S40" t="s">
        <v>1637</v>
      </c>
    </row>
    <row r="41" spans="1:19" x14ac:dyDescent="0.25">
      <c r="A41" s="2"/>
      <c r="B41" s="2"/>
      <c r="C41" s="2">
        <f t="shared" si="0"/>
        <v>1939</v>
      </c>
      <c r="D41" s="27"/>
      <c r="E41" s="83" t="s">
        <v>145</v>
      </c>
      <c r="F41" s="83" t="s">
        <v>145</v>
      </c>
      <c r="I41" s="2" t="s">
        <v>1585</v>
      </c>
      <c r="M41" s="34">
        <v>122545</v>
      </c>
      <c r="N41" s="2" t="s">
        <v>338</v>
      </c>
      <c r="O41" s="2" t="s">
        <v>183</v>
      </c>
      <c r="P41" s="2" t="str">
        <f t="shared" si="1"/>
        <v>122545-CERTIFICADOS DE INVERSION FORESTAL (C.I.F.)-SUBCUENTA</v>
      </c>
      <c r="Q41" t="s">
        <v>1907</v>
      </c>
      <c r="S41" t="s">
        <v>1638</v>
      </c>
    </row>
    <row r="42" spans="1:19" x14ac:dyDescent="0.25">
      <c r="A42" s="2"/>
      <c r="B42" s="2"/>
      <c r="C42" s="2">
        <f t="shared" si="0"/>
        <v>1940</v>
      </c>
      <c r="D42" s="27"/>
      <c r="E42" s="83" t="s">
        <v>146</v>
      </c>
      <c r="F42" s="83" t="s">
        <v>146</v>
      </c>
      <c r="I42" s="2" t="s">
        <v>1586</v>
      </c>
      <c r="M42" s="34">
        <v>122595</v>
      </c>
      <c r="N42" s="2" t="s">
        <v>323</v>
      </c>
      <c r="O42" s="2" t="s">
        <v>183</v>
      </c>
      <c r="P42" s="2" t="str">
        <f t="shared" si="1"/>
        <v>122595-OTROS-SUBCUENTA</v>
      </c>
      <c r="Q42" t="s">
        <v>1908</v>
      </c>
      <c r="S42" t="s">
        <v>1639</v>
      </c>
    </row>
    <row r="43" spans="1:19" x14ac:dyDescent="0.25">
      <c r="A43" s="2"/>
      <c r="B43" s="2"/>
      <c r="C43" s="2">
        <f t="shared" si="0"/>
        <v>1941</v>
      </c>
      <c r="D43" s="27"/>
      <c r="E43" s="83" t="s">
        <v>147</v>
      </c>
      <c r="F43" s="83" t="s">
        <v>147</v>
      </c>
      <c r="I43" s="2" t="s">
        <v>1587</v>
      </c>
      <c r="M43" s="34">
        <v>1230</v>
      </c>
      <c r="N43" s="2" t="s">
        <v>339</v>
      </c>
      <c r="O43" s="2" t="s">
        <v>182</v>
      </c>
      <c r="P43" s="2" t="str">
        <f t="shared" si="1"/>
        <v>1230-PAPELES COMERCIALES-CUENTA</v>
      </c>
      <c r="Q43" t="s">
        <v>1909</v>
      </c>
      <c r="S43" t="s">
        <v>1640</v>
      </c>
    </row>
    <row r="44" spans="1:19" x14ac:dyDescent="0.25">
      <c r="A44" s="2"/>
      <c r="B44" s="2"/>
      <c r="C44" s="2">
        <f t="shared" si="0"/>
        <v>1942</v>
      </c>
      <c r="D44" s="27"/>
      <c r="E44" s="83" t="s">
        <v>148</v>
      </c>
      <c r="F44" s="83" t="s">
        <v>148</v>
      </c>
      <c r="I44" s="2" t="s">
        <v>1588</v>
      </c>
      <c r="M44" s="34">
        <v>123005</v>
      </c>
      <c r="N44" s="2" t="s">
        <v>340</v>
      </c>
      <c r="O44" s="2" t="s">
        <v>183</v>
      </c>
      <c r="P44" s="2" t="str">
        <f t="shared" si="1"/>
        <v>123005-EMPRESAS COMERCIALES-SUBCUENTA</v>
      </c>
      <c r="Q44" t="s">
        <v>1910</v>
      </c>
      <c r="S44" t="s">
        <v>1641</v>
      </c>
    </row>
    <row r="45" spans="1:19" x14ac:dyDescent="0.25">
      <c r="A45" s="2"/>
      <c r="B45" s="2"/>
      <c r="C45" s="2">
        <f t="shared" si="0"/>
        <v>1943</v>
      </c>
      <c r="D45" s="27"/>
      <c r="E45" s="83" t="s">
        <v>149</v>
      </c>
      <c r="F45" s="83" t="s">
        <v>149</v>
      </c>
      <c r="M45" s="34">
        <v>123010</v>
      </c>
      <c r="N45" s="2" t="s">
        <v>341</v>
      </c>
      <c r="O45" s="2" t="s">
        <v>183</v>
      </c>
      <c r="P45" s="2" t="str">
        <f t="shared" si="1"/>
        <v>123010-EMPRESAS INDUSTRIALES-SUBCUENTA</v>
      </c>
      <c r="Q45" t="s">
        <v>1911</v>
      </c>
      <c r="S45" t="s">
        <v>1642</v>
      </c>
    </row>
    <row r="46" spans="1:19" x14ac:dyDescent="0.25">
      <c r="A46" s="2"/>
      <c r="B46" s="2"/>
      <c r="C46" s="2">
        <f t="shared" si="0"/>
        <v>1944</v>
      </c>
      <c r="D46" s="27"/>
      <c r="E46" s="83" t="s">
        <v>150</v>
      </c>
      <c r="F46" s="83" t="s">
        <v>150</v>
      </c>
      <c r="M46" s="34">
        <v>123015</v>
      </c>
      <c r="N46" s="2" t="s">
        <v>342</v>
      </c>
      <c r="O46" s="2" t="s">
        <v>183</v>
      </c>
      <c r="P46" s="2" t="str">
        <f t="shared" si="1"/>
        <v>123015-EMPRESAS DE SERVICIOS-SUBCUENTA</v>
      </c>
      <c r="Q46" t="s">
        <v>1912</v>
      </c>
      <c r="S46" t="s">
        <v>1643</v>
      </c>
    </row>
    <row r="47" spans="1:19" x14ac:dyDescent="0.25">
      <c r="A47" s="2"/>
      <c r="B47" s="2"/>
      <c r="C47" s="2">
        <f t="shared" si="0"/>
        <v>1945</v>
      </c>
      <c r="D47" s="27"/>
      <c r="E47" s="83" t="s">
        <v>151</v>
      </c>
      <c r="F47" s="83" t="s">
        <v>151</v>
      </c>
      <c r="M47" s="34">
        <v>1235</v>
      </c>
      <c r="N47" s="2" t="s">
        <v>343</v>
      </c>
      <c r="O47" s="2" t="s">
        <v>182</v>
      </c>
      <c r="P47" s="2" t="str">
        <f t="shared" si="1"/>
        <v>1235-TITULOS-CUENTA</v>
      </c>
      <c r="Q47" t="s">
        <v>1913</v>
      </c>
      <c r="S47" t="s">
        <v>1644</v>
      </c>
    </row>
    <row r="48" spans="1:19" x14ac:dyDescent="0.25">
      <c r="A48" s="2"/>
      <c r="B48" s="2"/>
      <c r="C48" s="2">
        <f t="shared" si="0"/>
        <v>1946</v>
      </c>
      <c r="D48" s="27"/>
      <c r="E48" s="83" t="s">
        <v>152</v>
      </c>
      <c r="F48" s="83" t="s">
        <v>152</v>
      </c>
      <c r="M48" s="34">
        <v>123505</v>
      </c>
      <c r="N48" s="2" t="s">
        <v>344</v>
      </c>
      <c r="O48" s="2" t="s">
        <v>183</v>
      </c>
      <c r="P48" s="2" t="str">
        <f t="shared" si="1"/>
        <v>123505-TITULOS DE DESARROLLO AGROPECUARIO-SUBCUENTA</v>
      </c>
      <c r="Q48" t="s">
        <v>1914</v>
      </c>
      <c r="S48" t="s">
        <v>1645</v>
      </c>
    </row>
    <row r="49" spans="1:19" x14ac:dyDescent="0.25">
      <c r="A49" s="2"/>
      <c r="B49" s="2"/>
      <c r="C49" s="2">
        <f t="shared" si="0"/>
        <v>1947</v>
      </c>
      <c r="D49" s="27"/>
      <c r="E49" s="83" t="s">
        <v>153</v>
      </c>
      <c r="F49" s="83" t="s">
        <v>153</v>
      </c>
      <c r="M49" s="34">
        <v>123510</v>
      </c>
      <c r="N49" s="2" t="s">
        <v>345</v>
      </c>
      <c r="O49" s="2" t="s">
        <v>183</v>
      </c>
      <c r="P49" s="2" t="str">
        <f t="shared" si="1"/>
        <v>123510-TITULOS CANJEABLES POR CERTIFICADOS DE CAMBIO-SUBCUENTA</v>
      </c>
      <c r="Q49" t="s">
        <v>1915</v>
      </c>
      <c r="S49" t="s">
        <v>1646</v>
      </c>
    </row>
    <row r="50" spans="1:19" x14ac:dyDescent="0.25">
      <c r="A50" s="2"/>
      <c r="B50" s="2"/>
      <c r="C50" s="2">
        <f t="shared" si="0"/>
        <v>1948</v>
      </c>
      <c r="D50" s="27"/>
      <c r="E50" s="83" t="s">
        <v>154</v>
      </c>
      <c r="F50" s="83" t="s">
        <v>154</v>
      </c>
      <c r="M50" s="34">
        <v>123515</v>
      </c>
      <c r="N50" s="2" t="s">
        <v>346</v>
      </c>
      <c r="O50" s="2" t="s">
        <v>183</v>
      </c>
      <c r="P50" s="2" t="str">
        <f t="shared" si="1"/>
        <v>123515-TITULOS DE TESORERIA (T.E.S.)-SUBCUENTA</v>
      </c>
      <c r="Q50" t="s">
        <v>1916</v>
      </c>
      <c r="S50" t="s">
        <v>1647</v>
      </c>
    </row>
    <row r="51" spans="1:19" x14ac:dyDescent="0.25">
      <c r="A51" s="2"/>
      <c r="B51" s="2"/>
      <c r="C51" s="2">
        <f t="shared" si="0"/>
        <v>1949</v>
      </c>
      <c r="D51" s="27"/>
      <c r="E51" s="83" t="s">
        <v>155</v>
      </c>
      <c r="F51" s="83" t="s">
        <v>155</v>
      </c>
      <c r="M51" s="34">
        <v>123520</v>
      </c>
      <c r="N51" s="2" t="s">
        <v>347</v>
      </c>
      <c r="O51" s="2" t="s">
        <v>183</v>
      </c>
      <c r="P51" s="2" t="str">
        <f t="shared" si="1"/>
        <v>123520-TITULOS DE PARTICIPACION-SUBCUENTA</v>
      </c>
      <c r="Q51" t="s">
        <v>1917</v>
      </c>
      <c r="S51" t="s">
        <v>1648</v>
      </c>
    </row>
    <row r="52" spans="1:19" x14ac:dyDescent="0.25">
      <c r="A52" s="2"/>
      <c r="B52" s="2"/>
      <c r="C52" s="2">
        <f t="shared" si="0"/>
        <v>1950</v>
      </c>
      <c r="D52" s="27"/>
      <c r="E52" s="83" t="s">
        <v>156</v>
      </c>
      <c r="F52" s="83" t="s">
        <v>156</v>
      </c>
      <c r="M52" s="34">
        <v>123525</v>
      </c>
      <c r="N52" s="2" t="s">
        <v>348</v>
      </c>
      <c r="O52" s="2" t="s">
        <v>183</v>
      </c>
      <c r="P52" s="2" t="str">
        <f t="shared" si="1"/>
        <v>123525-TITULOS DE CREDITO DE FOMENTO-SUBCUENTA</v>
      </c>
      <c r="Q52" t="s">
        <v>1918</v>
      </c>
      <c r="S52" t="s">
        <v>1649</v>
      </c>
    </row>
    <row r="53" spans="1:19" x14ac:dyDescent="0.25">
      <c r="A53" s="2"/>
      <c r="B53" s="2"/>
      <c r="C53" s="2">
        <f t="shared" si="0"/>
        <v>1951</v>
      </c>
      <c r="D53" s="27"/>
      <c r="E53" s="83" t="s">
        <v>157</v>
      </c>
      <c r="F53" s="83" t="s">
        <v>157</v>
      </c>
      <c r="M53" s="34">
        <v>123530</v>
      </c>
      <c r="N53" s="2" t="s">
        <v>349</v>
      </c>
      <c r="O53" s="2" t="s">
        <v>183</v>
      </c>
      <c r="P53" s="2" t="str">
        <f t="shared" si="1"/>
        <v>123530-TITULOS FINANCIEROS AGROINDUSTRIALES (T.F.A.)-SUBCUENTA</v>
      </c>
      <c r="Q53" t="s">
        <v>1919</v>
      </c>
      <c r="S53" t="s">
        <v>1650</v>
      </c>
    </row>
    <row r="54" spans="1:19" x14ac:dyDescent="0.25">
      <c r="A54" s="2"/>
      <c r="B54" s="2"/>
      <c r="C54" s="2">
        <f t="shared" si="0"/>
        <v>1952</v>
      </c>
      <c r="D54" s="27"/>
      <c r="E54" s="83" t="s">
        <v>158</v>
      </c>
      <c r="F54" s="83" t="s">
        <v>158</v>
      </c>
      <c r="M54" s="34">
        <v>123535</v>
      </c>
      <c r="N54" s="2" t="s">
        <v>350</v>
      </c>
      <c r="O54" s="2" t="s">
        <v>183</v>
      </c>
      <c r="P54" s="2" t="str">
        <f t="shared" si="1"/>
        <v>123535-TITULOS DE AHORRO CAFETERO (T.A.C.)-SUBCUENTA</v>
      </c>
      <c r="Q54" t="s">
        <v>1920</v>
      </c>
      <c r="S54" t="s">
        <v>1651</v>
      </c>
    </row>
    <row r="55" spans="1:19" x14ac:dyDescent="0.25">
      <c r="A55" s="2"/>
      <c r="B55" s="2"/>
      <c r="C55" s="2">
        <f t="shared" si="0"/>
        <v>1953</v>
      </c>
      <c r="D55" s="27"/>
      <c r="E55" s="83" t="s">
        <v>159</v>
      </c>
      <c r="F55" s="83" t="s">
        <v>159</v>
      </c>
      <c r="M55" s="34">
        <v>123540</v>
      </c>
      <c r="N55" s="2" t="s">
        <v>351</v>
      </c>
      <c r="O55" s="2" t="s">
        <v>183</v>
      </c>
      <c r="P55" s="2" t="str">
        <f t="shared" si="1"/>
        <v>123540-TITULOS DE AHORRO NACIONAL (T.A.N.)-SUBCUENTA</v>
      </c>
      <c r="Q55" t="s">
        <v>1921</v>
      </c>
      <c r="S55" t="s">
        <v>1652</v>
      </c>
    </row>
    <row r="56" spans="1:19" x14ac:dyDescent="0.25">
      <c r="A56" s="2"/>
      <c r="B56" s="2"/>
      <c r="C56" s="2">
        <f t="shared" si="0"/>
        <v>1954</v>
      </c>
      <c r="D56" s="27"/>
      <c r="E56" s="83" t="s">
        <v>160</v>
      </c>
      <c r="F56" s="83" t="s">
        <v>160</v>
      </c>
      <c r="M56" s="34">
        <v>123545</v>
      </c>
      <c r="N56" s="2" t="s">
        <v>352</v>
      </c>
      <c r="O56" s="2" t="s">
        <v>183</v>
      </c>
      <c r="P56" s="2" t="str">
        <f t="shared" si="1"/>
        <v>123545-TITULOS ENERGETICOS DE RENTABILIDAD CRECIENTE (T.E.R.)-SUBCUENTA</v>
      </c>
      <c r="Q56" t="s">
        <v>1922</v>
      </c>
      <c r="S56" t="s">
        <v>1653</v>
      </c>
    </row>
    <row r="57" spans="1:19" x14ac:dyDescent="0.25">
      <c r="A57" s="2"/>
      <c r="B57" s="2"/>
      <c r="C57" s="2">
        <f t="shared" si="0"/>
        <v>1955</v>
      </c>
      <c r="D57" s="27"/>
      <c r="E57" s="83" t="s">
        <v>161</v>
      </c>
      <c r="F57" s="83" t="s">
        <v>161</v>
      </c>
      <c r="M57" s="34">
        <v>123550</v>
      </c>
      <c r="N57" s="2" t="s">
        <v>353</v>
      </c>
      <c r="O57" s="2" t="s">
        <v>183</v>
      </c>
      <c r="P57" s="2" t="str">
        <f t="shared" si="1"/>
        <v>123550-TITULOS DE AHORRO EDUCATIVO (T.A.E.)-SUBCUENTA</v>
      </c>
      <c r="Q57" t="s">
        <v>1923</v>
      </c>
      <c r="S57" t="s">
        <v>1654</v>
      </c>
    </row>
    <row r="58" spans="1:19" x14ac:dyDescent="0.25">
      <c r="A58" s="2"/>
      <c r="B58" s="2"/>
      <c r="C58" s="2">
        <f t="shared" si="0"/>
        <v>1956</v>
      </c>
      <c r="D58" s="27"/>
      <c r="E58" s="83" t="s">
        <v>162</v>
      </c>
      <c r="F58" s="83" t="s">
        <v>162</v>
      </c>
      <c r="M58" s="34">
        <v>123555</v>
      </c>
      <c r="N58" s="2" t="s">
        <v>354</v>
      </c>
      <c r="O58" s="2" t="s">
        <v>183</v>
      </c>
      <c r="P58" s="2" t="str">
        <f t="shared" si="1"/>
        <v>123555-TITULOS FINANCIEROS INDUSTRIALES Y COMERCIALES-SUBCUENTA</v>
      </c>
      <c r="Q58" t="s">
        <v>1924</v>
      </c>
      <c r="S58" t="s">
        <v>1655</v>
      </c>
    </row>
    <row r="59" spans="1:19" x14ac:dyDescent="0.25">
      <c r="A59" s="2"/>
      <c r="B59" s="2"/>
      <c r="C59" s="2">
        <f t="shared" si="0"/>
        <v>1957</v>
      </c>
      <c r="D59" s="27"/>
      <c r="E59" s="83" t="s">
        <v>163</v>
      </c>
      <c r="F59" s="83" t="s">
        <v>163</v>
      </c>
      <c r="M59" s="34">
        <v>123560</v>
      </c>
      <c r="N59" s="2" t="s">
        <v>355</v>
      </c>
      <c r="O59" s="2" t="s">
        <v>183</v>
      </c>
      <c r="P59" s="2" t="str">
        <f t="shared" si="1"/>
        <v>123560-TESOROS-SUBCUENTA</v>
      </c>
      <c r="Q59" t="s">
        <v>1925</v>
      </c>
      <c r="S59" t="s">
        <v>1656</v>
      </c>
    </row>
    <row r="60" spans="1:19" x14ac:dyDescent="0.25">
      <c r="A60" s="2"/>
      <c r="B60" s="2"/>
      <c r="C60" s="2">
        <f t="shared" si="0"/>
        <v>1958</v>
      </c>
      <c r="D60" s="27"/>
      <c r="E60" s="83" t="s">
        <v>164</v>
      </c>
      <c r="F60" s="83" t="s">
        <v>164</v>
      </c>
      <c r="M60" s="34">
        <v>123565</v>
      </c>
      <c r="N60" s="2" t="s">
        <v>356</v>
      </c>
      <c r="O60" s="2" t="s">
        <v>183</v>
      </c>
      <c r="P60" s="2" t="str">
        <f t="shared" si="1"/>
        <v>123565-TITULOS DE DEVOLUCION DE IMPUESTOS NACIONALES (TIDIS)-SUBCUENTA</v>
      </c>
      <c r="Q60" t="s">
        <v>1926</v>
      </c>
      <c r="S60" t="s">
        <v>1657</v>
      </c>
    </row>
    <row r="61" spans="1:19" x14ac:dyDescent="0.25">
      <c r="A61" s="2"/>
      <c r="B61" s="2"/>
      <c r="C61" s="2">
        <f t="shared" si="0"/>
        <v>1959</v>
      </c>
      <c r="D61" s="27"/>
      <c r="E61" s="83" t="s">
        <v>165</v>
      </c>
      <c r="F61" s="83" t="s">
        <v>165</v>
      </c>
      <c r="M61" s="34">
        <v>123570</v>
      </c>
      <c r="N61" s="2" t="s">
        <v>357</v>
      </c>
      <c r="O61" s="2" t="s">
        <v>183</v>
      </c>
      <c r="P61" s="2" t="str">
        <f t="shared" si="1"/>
        <v>123570-TITULOS INMOBILIARIOS-SUBCUENTA</v>
      </c>
      <c r="Q61" t="s">
        <v>1927</v>
      </c>
      <c r="S61" t="s">
        <v>1658</v>
      </c>
    </row>
    <row r="62" spans="1:19" x14ac:dyDescent="0.25">
      <c r="A62" s="2"/>
      <c r="B62" s="2"/>
      <c r="C62" s="2">
        <f t="shared" si="0"/>
        <v>1960</v>
      </c>
      <c r="M62" s="34">
        <v>123595</v>
      </c>
      <c r="N62" s="2" t="s">
        <v>323</v>
      </c>
      <c r="O62" s="2" t="s">
        <v>183</v>
      </c>
      <c r="P62" s="2" t="str">
        <f t="shared" si="1"/>
        <v>123595-OTROS-SUBCUENTA</v>
      </c>
      <c r="Q62" t="s">
        <v>1928</v>
      </c>
      <c r="S62" t="s">
        <v>1659</v>
      </c>
    </row>
    <row r="63" spans="1:19" x14ac:dyDescent="0.25">
      <c r="A63" s="2"/>
      <c r="B63" s="2"/>
      <c r="C63" s="2">
        <f t="shared" si="0"/>
        <v>1961</v>
      </c>
      <c r="M63" s="34">
        <v>1240</v>
      </c>
      <c r="N63" s="2" t="s">
        <v>358</v>
      </c>
      <c r="O63" s="2" t="s">
        <v>182</v>
      </c>
      <c r="P63" s="2" t="str">
        <f t="shared" si="1"/>
        <v>1240-ACEPTACIONES BANCARIAS O FINANCIERAS-CUENTA</v>
      </c>
      <c r="Q63" t="s">
        <v>1929</v>
      </c>
      <c r="S63" t="s">
        <v>1660</v>
      </c>
    </row>
    <row r="64" spans="1:19" x14ac:dyDescent="0.25">
      <c r="A64" s="2"/>
      <c r="B64" s="2"/>
      <c r="C64" s="2">
        <f t="shared" si="0"/>
        <v>1962</v>
      </c>
      <c r="M64" s="34">
        <v>124005</v>
      </c>
      <c r="N64" s="2" t="s">
        <v>359</v>
      </c>
      <c r="O64" s="2" t="s">
        <v>183</v>
      </c>
      <c r="P64" s="2" t="str">
        <f t="shared" si="1"/>
        <v>124005-BANCOS COMERCIALES-SUBCUENTA</v>
      </c>
      <c r="Q64" t="s">
        <v>1930</v>
      </c>
      <c r="S64" t="s">
        <v>1661</v>
      </c>
    </row>
    <row r="65" spans="1:19" x14ac:dyDescent="0.25">
      <c r="A65" s="2"/>
      <c r="B65" s="2"/>
      <c r="C65" s="2">
        <f t="shared" si="0"/>
        <v>1963</v>
      </c>
      <c r="M65" s="34">
        <v>124010</v>
      </c>
      <c r="N65" s="2" t="s">
        <v>360</v>
      </c>
      <c r="O65" s="2" t="s">
        <v>183</v>
      </c>
      <c r="P65" s="2" t="str">
        <f t="shared" si="1"/>
        <v>124010-COMPAÑIAS DE FINANCIAMIENTO COMERCIAL-SUBCUENTA</v>
      </c>
      <c r="Q65" t="s">
        <v>1931</v>
      </c>
      <c r="S65" t="s">
        <v>1662</v>
      </c>
    </row>
    <row r="66" spans="1:19" x14ac:dyDescent="0.25">
      <c r="A66" s="2"/>
      <c r="B66" s="2"/>
      <c r="C66" s="2">
        <f t="shared" si="0"/>
        <v>1964</v>
      </c>
      <c r="M66" s="34">
        <v>124015</v>
      </c>
      <c r="N66" s="2" t="s">
        <v>361</v>
      </c>
      <c r="O66" s="2" t="s">
        <v>183</v>
      </c>
      <c r="P66" s="2" t="str">
        <f t="shared" si="1"/>
        <v>124015-CORPORACIONES FINANCIERAS-SUBCUENTA</v>
      </c>
      <c r="Q66" t="s">
        <v>1932</v>
      </c>
      <c r="S66" t="s">
        <v>1663</v>
      </c>
    </row>
    <row r="67" spans="1:19" x14ac:dyDescent="0.25">
      <c r="A67" s="2"/>
      <c r="B67" s="2"/>
      <c r="C67" s="2">
        <f t="shared" si="0"/>
        <v>1965</v>
      </c>
      <c r="M67" s="34">
        <v>124095</v>
      </c>
      <c r="N67" s="2" t="s">
        <v>328</v>
      </c>
      <c r="O67" s="2" t="s">
        <v>183</v>
      </c>
      <c r="P67" s="2" t="str">
        <f t="shared" si="1"/>
        <v>124095-OTRAS-SUBCUENTA</v>
      </c>
      <c r="Q67" t="s">
        <v>1933</v>
      </c>
      <c r="S67" t="s">
        <v>1664</v>
      </c>
    </row>
    <row r="68" spans="1:19" x14ac:dyDescent="0.25">
      <c r="A68" s="2"/>
      <c r="B68" s="2"/>
      <c r="C68" s="2">
        <f t="shared" ref="C68:C131" si="2">C67+1</f>
        <v>1966</v>
      </c>
      <c r="M68" s="34">
        <v>1245</v>
      </c>
      <c r="N68" s="2" t="s">
        <v>362</v>
      </c>
      <c r="O68" s="2" t="s">
        <v>182</v>
      </c>
      <c r="P68" s="2" t="str">
        <f t="shared" ref="P68:P131" si="3">IF(AND(M68&lt;&gt;"",N68&lt;&gt;"",O68&lt;&gt;""),M68&amp;"-"&amp;N68&amp;"-"&amp;O68,IF(AND(M68="",N68&lt;&gt;"",O68&lt;&gt;""),N68&amp;"-"&amp;O68,IF(AND(M68&lt;&gt;"",N68="",O68&lt;&gt;""),M68&amp;"-"&amp;O68,IF(AND(M68&lt;&gt;"",N68&lt;&gt;"",O68=""),M68&amp;"-"&amp;N68,IF(AND(M68&lt;&gt;"",N68="",O68=""),M68,"")))))</f>
        <v>1245-DERECHOS FIDUCIARIOS-CUENTA</v>
      </c>
      <c r="Q68" t="s">
        <v>1934</v>
      </c>
      <c r="S68" t="s">
        <v>1665</v>
      </c>
    </row>
    <row r="69" spans="1:19" x14ac:dyDescent="0.25">
      <c r="A69" s="2"/>
      <c r="B69" s="2"/>
      <c r="C69" s="2">
        <f t="shared" si="2"/>
        <v>1967</v>
      </c>
      <c r="M69" s="34">
        <v>124505</v>
      </c>
      <c r="N69" s="2" t="s">
        <v>363</v>
      </c>
      <c r="O69" s="2" t="s">
        <v>183</v>
      </c>
      <c r="P69" s="2" t="str">
        <f t="shared" si="3"/>
        <v>124505-FIDEICOMISOS DE INVERSION MONEDA NACIONAL-SUBCUENTA</v>
      </c>
      <c r="Q69" t="s">
        <v>1935</v>
      </c>
      <c r="S69" t="s">
        <v>1666</v>
      </c>
    </row>
    <row r="70" spans="1:19" x14ac:dyDescent="0.25">
      <c r="A70" s="2"/>
      <c r="B70" s="2"/>
      <c r="C70" s="2">
        <f t="shared" si="2"/>
        <v>1968</v>
      </c>
      <c r="M70" s="34">
        <v>124510</v>
      </c>
      <c r="N70" s="2" t="s">
        <v>364</v>
      </c>
      <c r="O70" s="2" t="s">
        <v>183</v>
      </c>
      <c r="P70" s="2" t="str">
        <f t="shared" si="3"/>
        <v>124510-FIDEICOMISOS DE INVERSION MONEDA EXTRANJERA-SUBCUENTA</v>
      </c>
      <c r="Q70" t="s">
        <v>1556</v>
      </c>
      <c r="S70" t="s">
        <v>1667</v>
      </c>
    </row>
    <row r="71" spans="1:19" x14ac:dyDescent="0.25">
      <c r="A71" s="2"/>
      <c r="B71" s="2"/>
      <c r="C71" s="2">
        <f t="shared" si="2"/>
        <v>1969</v>
      </c>
      <c r="M71" s="34">
        <v>1250</v>
      </c>
      <c r="N71" s="2" t="s">
        <v>365</v>
      </c>
      <c r="O71" s="2" t="s">
        <v>182</v>
      </c>
      <c r="P71" s="2" t="str">
        <f t="shared" si="3"/>
        <v>1250-DERECHOS DE RECOMPRA DE INVERSIONES NEGOCIADAS (REPOS)-CUENTA</v>
      </c>
      <c r="Q71" t="s">
        <v>1936</v>
      </c>
      <c r="S71" t="s">
        <v>1668</v>
      </c>
    </row>
    <row r="72" spans="1:19" x14ac:dyDescent="0.25">
      <c r="A72" s="2"/>
      <c r="B72" s="2"/>
      <c r="C72" s="2">
        <f t="shared" si="2"/>
        <v>1970</v>
      </c>
      <c r="M72" s="34">
        <v>125005</v>
      </c>
      <c r="N72" s="2" t="s">
        <v>320</v>
      </c>
      <c r="O72" s="2" t="s">
        <v>183</v>
      </c>
      <c r="P72" s="2" t="str">
        <f t="shared" si="3"/>
        <v>125005-ACCIONES-SUBCUENTA</v>
      </c>
      <c r="Q72" t="s">
        <v>1937</v>
      </c>
      <c r="S72" t="s">
        <v>1669</v>
      </c>
    </row>
    <row r="73" spans="1:19" x14ac:dyDescent="0.25">
      <c r="A73" s="2"/>
      <c r="B73" s="2"/>
      <c r="C73" s="2">
        <f t="shared" si="2"/>
        <v>1971</v>
      </c>
      <c r="M73" s="34">
        <v>125010</v>
      </c>
      <c r="N73" s="2" t="s">
        <v>321</v>
      </c>
      <c r="O73" s="2" t="s">
        <v>183</v>
      </c>
      <c r="P73" s="2" t="str">
        <f t="shared" si="3"/>
        <v>125010-CUOTAS O PARTES DE INTERES SOCIAL-SUBCUENTA</v>
      </c>
      <c r="Q73" t="s">
        <v>1938</v>
      </c>
      <c r="S73" t="s">
        <v>1670</v>
      </c>
    </row>
    <row r="74" spans="1:19" x14ac:dyDescent="0.25">
      <c r="A74" s="2"/>
      <c r="B74" s="2"/>
      <c r="C74" s="2">
        <f t="shared" si="2"/>
        <v>1972</v>
      </c>
      <c r="M74" s="34">
        <v>125015</v>
      </c>
      <c r="N74" s="2" t="s">
        <v>322</v>
      </c>
      <c r="O74" s="2" t="s">
        <v>183</v>
      </c>
      <c r="P74" s="2" t="str">
        <f t="shared" si="3"/>
        <v>125015-BONOS-SUBCUENTA</v>
      </c>
      <c r="Q74" t="s">
        <v>1939</v>
      </c>
      <c r="S74" t="s">
        <v>1671</v>
      </c>
    </row>
    <row r="75" spans="1:19" x14ac:dyDescent="0.25">
      <c r="A75" s="2"/>
      <c r="B75" s="2"/>
      <c r="C75" s="2">
        <f t="shared" si="2"/>
        <v>1973</v>
      </c>
      <c r="M75" s="34">
        <v>125020</v>
      </c>
      <c r="N75" s="2" t="s">
        <v>324</v>
      </c>
      <c r="O75" s="2" t="s">
        <v>183</v>
      </c>
      <c r="P75" s="2" t="str">
        <f t="shared" si="3"/>
        <v>125020-CEDULAS-SUBCUENTA</v>
      </c>
      <c r="Q75" t="s">
        <v>1940</v>
      </c>
      <c r="S75" t="s">
        <v>1672</v>
      </c>
    </row>
    <row r="76" spans="1:19" x14ac:dyDescent="0.25">
      <c r="A76" s="2"/>
      <c r="B76" s="2"/>
      <c r="C76" s="2">
        <f t="shared" si="2"/>
        <v>1974</v>
      </c>
      <c r="M76" s="34">
        <v>125025</v>
      </c>
      <c r="N76" s="2" t="s">
        <v>329</v>
      </c>
      <c r="O76" s="2" t="s">
        <v>183</v>
      </c>
      <c r="P76" s="2" t="str">
        <f t="shared" si="3"/>
        <v>125025-CERTIFICADOS-SUBCUENTA</v>
      </c>
      <c r="Q76" t="s">
        <v>1941</v>
      </c>
      <c r="S76" t="s">
        <v>1673</v>
      </c>
    </row>
    <row r="77" spans="1:19" x14ac:dyDescent="0.25">
      <c r="A77" s="2"/>
      <c r="B77" s="2"/>
      <c r="C77" s="2">
        <f t="shared" si="2"/>
        <v>1975</v>
      </c>
      <c r="M77" s="34">
        <v>125030</v>
      </c>
      <c r="N77" s="2" t="s">
        <v>339</v>
      </c>
      <c r="O77" s="2" t="s">
        <v>183</v>
      </c>
      <c r="P77" s="2" t="str">
        <f t="shared" si="3"/>
        <v>125030-PAPELES COMERCIALES-SUBCUENTA</v>
      </c>
      <c r="Q77" t="s">
        <v>1942</v>
      </c>
      <c r="S77" t="s">
        <v>1674</v>
      </c>
    </row>
    <row r="78" spans="1:19" x14ac:dyDescent="0.25">
      <c r="A78" s="2"/>
      <c r="B78" s="2"/>
      <c r="C78" s="2">
        <f t="shared" si="2"/>
        <v>1976</v>
      </c>
      <c r="M78" s="34">
        <v>125035</v>
      </c>
      <c r="N78" s="2" t="s">
        <v>343</v>
      </c>
      <c r="O78" s="2" t="s">
        <v>183</v>
      </c>
      <c r="P78" s="2" t="str">
        <f t="shared" si="3"/>
        <v>125035-TITULOS-SUBCUENTA</v>
      </c>
      <c r="Q78" t="s">
        <v>1943</v>
      </c>
      <c r="S78" t="s">
        <v>1675</v>
      </c>
    </row>
    <row r="79" spans="1:19" x14ac:dyDescent="0.25">
      <c r="A79" s="2"/>
      <c r="B79" s="2"/>
      <c r="C79" s="2">
        <f t="shared" si="2"/>
        <v>1977</v>
      </c>
      <c r="M79" s="34">
        <v>125040</v>
      </c>
      <c r="N79" s="2" t="s">
        <v>366</v>
      </c>
      <c r="O79" s="2" t="s">
        <v>183</v>
      </c>
      <c r="P79" s="2" t="str">
        <f t="shared" si="3"/>
        <v>125040-ACEPTACIONES BANCARIAS O FINANCIERAS 125095 OTROS-SUBCUENTA</v>
      </c>
      <c r="Q79" t="s">
        <v>1944</v>
      </c>
      <c r="S79" t="s">
        <v>1676</v>
      </c>
    </row>
    <row r="80" spans="1:19" x14ac:dyDescent="0.25">
      <c r="A80" s="2"/>
      <c r="B80" s="2"/>
      <c r="C80" s="2">
        <f t="shared" si="2"/>
        <v>1978</v>
      </c>
      <c r="M80" s="34">
        <v>125099</v>
      </c>
      <c r="N80" s="2" t="s">
        <v>367</v>
      </c>
      <c r="O80" s="2" t="s">
        <v>183</v>
      </c>
      <c r="P80" s="2" t="str">
        <f t="shared" si="3"/>
        <v>125099-AJUSTES POR INFLACION-SUBCUENTA</v>
      </c>
      <c r="Q80" t="s">
        <v>1945</v>
      </c>
      <c r="S80" t="s">
        <v>1677</v>
      </c>
    </row>
    <row r="81" spans="1:19" x14ac:dyDescent="0.25">
      <c r="A81" s="2"/>
      <c r="B81" s="2"/>
      <c r="C81" s="2">
        <f t="shared" si="2"/>
        <v>1979</v>
      </c>
      <c r="M81" s="34">
        <v>1255</v>
      </c>
      <c r="N81" s="2" t="s">
        <v>368</v>
      </c>
      <c r="O81" s="2" t="s">
        <v>182</v>
      </c>
      <c r="P81" s="2" t="str">
        <f t="shared" si="3"/>
        <v>1255-OBLIGATORIAS-CUENTA</v>
      </c>
      <c r="Q81" t="s">
        <v>1946</v>
      </c>
      <c r="S81" t="s">
        <v>1678</v>
      </c>
    </row>
    <row r="82" spans="1:19" x14ac:dyDescent="0.25">
      <c r="A82" s="2"/>
      <c r="B82" s="2"/>
      <c r="C82" s="2">
        <f t="shared" si="2"/>
        <v>1980</v>
      </c>
      <c r="M82" s="34">
        <v>125505</v>
      </c>
      <c r="N82" s="2" t="s">
        <v>369</v>
      </c>
      <c r="O82" s="2" t="s">
        <v>183</v>
      </c>
      <c r="P82" s="2" t="str">
        <f t="shared" si="3"/>
        <v>125505-BONOS DE FINANCIAMIENTO ESPECIAL-SUBCUENTA</v>
      </c>
      <c r="Q82" t="s">
        <v>1947</v>
      </c>
      <c r="S82" t="s">
        <v>1679</v>
      </c>
    </row>
    <row r="83" spans="1:19" x14ac:dyDescent="0.25">
      <c r="A83" s="2"/>
      <c r="B83" s="2"/>
      <c r="C83" s="2">
        <f t="shared" si="2"/>
        <v>1981</v>
      </c>
      <c r="M83" s="34">
        <v>125510</v>
      </c>
      <c r="N83" s="2" t="s">
        <v>370</v>
      </c>
      <c r="O83" s="2" t="s">
        <v>183</v>
      </c>
      <c r="P83" s="2" t="str">
        <f t="shared" si="3"/>
        <v>125510-BONOS DE FINANCIAMIENTO PRESUPUESTAL-SUBCUENTA</v>
      </c>
      <c r="Q83" t="s">
        <v>1948</v>
      </c>
      <c r="S83" t="s">
        <v>1680</v>
      </c>
    </row>
    <row r="84" spans="1:19" x14ac:dyDescent="0.25">
      <c r="A84" s="2"/>
      <c r="B84" s="2"/>
      <c r="C84" s="2">
        <f t="shared" si="2"/>
        <v>1982</v>
      </c>
      <c r="M84" s="34">
        <v>125515</v>
      </c>
      <c r="N84" s="2" t="s">
        <v>371</v>
      </c>
      <c r="O84" s="2" t="s">
        <v>183</v>
      </c>
      <c r="P84" s="2" t="str">
        <f t="shared" si="3"/>
        <v>125515-BONOS PARA DESARROLLO SOCIAL Y SEGURIDAD INTERNA (B.D.S.I.)-SUBCUENTA</v>
      </c>
      <c r="Q84" t="s">
        <v>1949</v>
      </c>
      <c r="S84" t="s">
        <v>1681</v>
      </c>
    </row>
    <row r="85" spans="1:19" x14ac:dyDescent="0.25">
      <c r="A85" s="2"/>
      <c r="B85" s="2"/>
      <c r="C85" s="2">
        <f t="shared" si="2"/>
        <v>1983</v>
      </c>
      <c r="M85" s="34">
        <v>125595</v>
      </c>
      <c r="N85" s="2" t="s">
        <v>328</v>
      </c>
      <c r="O85" s="2" t="s">
        <v>183</v>
      </c>
      <c r="P85" s="2" t="str">
        <f t="shared" si="3"/>
        <v>125595-OTRAS-SUBCUENTA</v>
      </c>
      <c r="Q85" t="s">
        <v>1950</v>
      </c>
      <c r="S85" t="s">
        <v>1682</v>
      </c>
    </row>
    <row r="86" spans="1:19" x14ac:dyDescent="0.25">
      <c r="A86" s="2"/>
      <c r="B86" s="2"/>
      <c r="C86" s="2">
        <f t="shared" si="2"/>
        <v>1984</v>
      </c>
      <c r="M86" s="34">
        <v>1260</v>
      </c>
      <c r="N86" s="2" t="s">
        <v>372</v>
      </c>
      <c r="O86" s="2" t="s">
        <v>182</v>
      </c>
      <c r="P86" s="2" t="str">
        <f t="shared" si="3"/>
        <v>1260-CUENTAS EN PARTICIPACION-CUENTA</v>
      </c>
      <c r="Q86" t="s">
        <v>1951</v>
      </c>
      <c r="S86" t="s">
        <v>1683</v>
      </c>
    </row>
    <row r="87" spans="1:19" x14ac:dyDescent="0.25">
      <c r="A87" s="2"/>
      <c r="B87" s="2"/>
      <c r="C87" s="2">
        <f t="shared" si="2"/>
        <v>1985</v>
      </c>
      <c r="M87" s="34" t="s">
        <v>187</v>
      </c>
      <c r="N87" s="2" t="s">
        <v>188</v>
      </c>
      <c r="O87" s="2" t="s">
        <v>188</v>
      </c>
      <c r="P87" s="2" t="str">
        <f t="shared" si="3"/>
        <v xml:space="preserve">126001 a 126098 </v>
      </c>
      <c r="Q87" t="s">
        <v>1952</v>
      </c>
      <c r="S87" t="s">
        <v>1684</v>
      </c>
    </row>
    <row r="88" spans="1:19" x14ac:dyDescent="0.25">
      <c r="A88" s="2"/>
      <c r="B88" s="2"/>
      <c r="C88" s="2">
        <f t="shared" si="2"/>
        <v>1986</v>
      </c>
      <c r="M88" s="34">
        <v>126099</v>
      </c>
      <c r="N88" s="2" t="s">
        <v>367</v>
      </c>
      <c r="O88" s="2" t="s">
        <v>183</v>
      </c>
      <c r="P88" s="2" t="str">
        <f t="shared" si="3"/>
        <v>126099-AJUSTES POR INFLACION-SUBCUENTA</v>
      </c>
      <c r="Q88" t="s">
        <v>1953</v>
      </c>
      <c r="S88" t="s">
        <v>1685</v>
      </c>
    </row>
    <row r="89" spans="1:19" x14ac:dyDescent="0.25">
      <c r="A89" s="2"/>
      <c r="B89" s="2"/>
      <c r="C89" s="2">
        <f t="shared" si="2"/>
        <v>1987</v>
      </c>
      <c r="M89" s="34">
        <v>1295</v>
      </c>
      <c r="N89" s="2" t="s">
        <v>373</v>
      </c>
      <c r="O89" s="2" t="s">
        <v>182</v>
      </c>
      <c r="P89" s="2" t="str">
        <f t="shared" si="3"/>
        <v>1295-OTRAS INVERSIONES-CUENTA</v>
      </c>
      <c r="Q89" t="s">
        <v>1954</v>
      </c>
      <c r="S89" t="s">
        <v>1686</v>
      </c>
    </row>
    <row r="90" spans="1:19" x14ac:dyDescent="0.25">
      <c r="A90" s="2"/>
      <c r="B90" s="2"/>
      <c r="C90" s="2">
        <f t="shared" si="2"/>
        <v>1988</v>
      </c>
      <c r="M90" s="34">
        <v>129505</v>
      </c>
      <c r="N90" s="2" t="s">
        <v>374</v>
      </c>
      <c r="O90" s="2" t="s">
        <v>183</v>
      </c>
      <c r="P90" s="2" t="str">
        <f t="shared" si="3"/>
        <v>129505-APORTES EN COOPERATIVAS-SUBCUENTA</v>
      </c>
      <c r="Q90" t="s">
        <v>1955</v>
      </c>
      <c r="S90" t="s">
        <v>1687</v>
      </c>
    </row>
    <row r="91" spans="1:19" x14ac:dyDescent="0.25">
      <c r="A91" s="2"/>
      <c r="B91" s="2"/>
      <c r="C91" s="2">
        <f t="shared" si="2"/>
        <v>1989</v>
      </c>
      <c r="M91" s="34">
        <v>129510</v>
      </c>
      <c r="N91" s="2" t="s">
        <v>375</v>
      </c>
      <c r="O91" s="2" t="s">
        <v>183</v>
      </c>
      <c r="P91" s="2" t="str">
        <f t="shared" si="3"/>
        <v>129510-DERECHOS EN CLUBES SOCIALES-SUBCUENTA</v>
      </c>
      <c r="Q91" t="s">
        <v>1956</v>
      </c>
      <c r="S91" t="s">
        <v>1688</v>
      </c>
    </row>
    <row r="92" spans="1:19" x14ac:dyDescent="0.25">
      <c r="A92" s="2"/>
      <c r="B92" s="2"/>
      <c r="C92" s="2">
        <f t="shared" si="2"/>
        <v>1990</v>
      </c>
      <c r="M92" s="34">
        <v>129515</v>
      </c>
      <c r="N92" s="2" t="s">
        <v>376</v>
      </c>
      <c r="O92" s="2" t="s">
        <v>183</v>
      </c>
      <c r="P92" s="2" t="str">
        <f t="shared" si="3"/>
        <v>129515-ACCIONES O DERECHOS EN CLUBES DEPORTIVOS-SUBCUENTA</v>
      </c>
      <c r="Q92" t="s">
        <v>1957</v>
      </c>
      <c r="S92" t="s">
        <v>1689</v>
      </c>
    </row>
    <row r="93" spans="1:19" x14ac:dyDescent="0.25">
      <c r="A93" s="2"/>
      <c r="B93" s="2"/>
      <c r="C93" s="2">
        <f t="shared" si="2"/>
        <v>1991</v>
      </c>
      <c r="M93" s="34">
        <v>129520</v>
      </c>
      <c r="N93" s="2" t="s">
        <v>377</v>
      </c>
      <c r="O93" s="2" t="s">
        <v>183</v>
      </c>
      <c r="P93" s="2" t="str">
        <f t="shared" si="3"/>
        <v>129520-BONOS EN COLEGIOS-SUBCUENTA</v>
      </c>
      <c r="Q93" t="s">
        <v>1958</v>
      </c>
      <c r="S93" t="s">
        <v>1690</v>
      </c>
    </row>
    <row r="94" spans="1:19" x14ac:dyDescent="0.25">
      <c r="A94" s="2"/>
      <c r="B94" s="2"/>
      <c r="C94" s="2">
        <f t="shared" si="2"/>
        <v>1992</v>
      </c>
      <c r="M94" s="34">
        <v>129595</v>
      </c>
      <c r="N94" s="2" t="s">
        <v>378</v>
      </c>
      <c r="O94" s="2" t="s">
        <v>183</v>
      </c>
      <c r="P94" s="2" t="str">
        <f t="shared" si="3"/>
        <v>129595-DIVERSAS-SUBCUENTA</v>
      </c>
      <c r="Q94" t="s">
        <v>1959</v>
      </c>
      <c r="S94" t="s">
        <v>1691</v>
      </c>
    </row>
    <row r="95" spans="1:19" x14ac:dyDescent="0.25">
      <c r="A95" s="2"/>
      <c r="B95" s="2"/>
      <c r="C95" s="2">
        <f t="shared" si="2"/>
        <v>1993</v>
      </c>
      <c r="M95" s="34">
        <v>129599</v>
      </c>
      <c r="N95" s="2" t="s">
        <v>367</v>
      </c>
      <c r="O95" s="2" t="s">
        <v>183</v>
      </c>
      <c r="P95" s="2" t="str">
        <f t="shared" si="3"/>
        <v>129599-AJUSTES POR INFLACION-SUBCUENTA</v>
      </c>
      <c r="Q95" t="s">
        <v>1960</v>
      </c>
      <c r="S95" t="s">
        <v>1692</v>
      </c>
    </row>
    <row r="96" spans="1:19" x14ac:dyDescent="0.25">
      <c r="A96" s="2"/>
      <c r="B96" s="2"/>
      <c r="C96" s="2">
        <f t="shared" si="2"/>
        <v>1994</v>
      </c>
      <c r="M96" s="34">
        <v>1299</v>
      </c>
      <c r="N96" s="2" t="s">
        <v>379</v>
      </c>
      <c r="O96" s="2" t="s">
        <v>182</v>
      </c>
      <c r="P96" s="2" t="str">
        <f t="shared" si="3"/>
        <v>1299-PROVISIONES-CUENTA</v>
      </c>
      <c r="Q96" t="s">
        <v>1961</v>
      </c>
      <c r="S96" t="s">
        <v>1693</v>
      </c>
    </row>
    <row r="97" spans="1:19" x14ac:dyDescent="0.25">
      <c r="A97" s="2"/>
      <c r="B97" s="2"/>
      <c r="C97" s="2">
        <f t="shared" si="2"/>
        <v>1995</v>
      </c>
      <c r="M97" s="34">
        <v>129905</v>
      </c>
      <c r="N97" s="2" t="s">
        <v>320</v>
      </c>
      <c r="O97" s="2" t="s">
        <v>183</v>
      </c>
      <c r="P97" s="2" t="str">
        <f t="shared" si="3"/>
        <v>129905-ACCIONES-SUBCUENTA</v>
      </c>
      <c r="Q97" t="s">
        <v>1962</v>
      </c>
      <c r="S97" t="s">
        <v>1694</v>
      </c>
    </row>
    <row r="98" spans="1:19" x14ac:dyDescent="0.25">
      <c r="A98" s="2"/>
      <c r="B98" s="2"/>
      <c r="C98" s="2">
        <f t="shared" si="2"/>
        <v>1996</v>
      </c>
      <c r="M98" s="34">
        <v>129910</v>
      </c>
      <c r="N98" s="2" t="s">
        <v>321</v>
      </c>
      <c r="O98" s="2" t="s">
        <v>183</v>
      </c>
      <c r="P98" s="2" t="str">
        <f t="shared" si="3"/>
        <v>129910-CUOTAS O PARTES DE INTERES SOCIAL-SUBCUENTA</v>
      </c>
      <c r="Q98" t="s">
        <v>1963</v>
      </c>
      <c r="S98" t="s">
        <v>1695</v>
      </c>
    </row>
    <row r="99" spans="1:19" x14ac:dyDescent="0.25">
      <c r="A99" s="2"/>
      <c r="B99" s="2"/>
      <c r="C99" s="2">
        <f t="shared" si="2"/>
        <v>1997</v>
      </c>
      <c r="M99" s="34">
        <v>129915</v>
      </c>
      <c r="N99" s="2" t="s">
        <v>322</v>
      </c>
      <c r="O99" s="2" t="s">
        <v>183</v>
      </c>
      <c r="P99" s="2" t="str">
        <f t="shared" si="3"/>
        <v>129915-BONOS-SUBCUENTA</v>
      </c>
      <c r="Q99" t="s">
        <v>1964</v>
      </c>
      <c r="S99" t="s">
        <v>1696</v>
      </c>
    </row>
    <row r="100" spans="1:19" x14ac:dyDescent="0.25">
      <c r="A100" s="2"/>
      <c r="B100" s="2"/>
      <c r="C100" s="2">
        <f t="shared" si="2"/>
        <v>1998</v>
      </c>
      <c r="M100" s="34">
        <v>129920</v>
      </c>
      <c r="N100" s="2" t="s">
        <v>324</v>
      </c>
      <c r="O100" s="2" t="s">
        <v>183</v>
      </c>
      <c r="P100" s="2" t="str">
        <f t="shared" si="3"/>
        <v>129920-CEDULAS-SUBCUENTA</v>
      </c>
      <c r="Q100" t="s">
        <v>1965</v>
      </c>
      <c r="S100" t="s">
        <v>1697</v>
      </c>
    </row>
    <row r="101" spans="1:19" x14ac:dyDescent="0.25">
      <c r="A101" s="2"/>
      <c r="B101" s="2"/>
      <c r="C101" s="2">
        <f t="shared" si="2"/>
        <v>1999</v>
      </c>
      <c r="M101" s="34">
        <v>129925</v>
      </c>
      <c r="N101" s="2" t="s">
        <v>329</v>
      </c>
      <c r="O101" s="2" t="s">
        <v>183</v>
      </c>
      <c r="P101" s="2" t="str">
        <f t="shared" si="3"/>
        <v>129925-CERTIFICADOS-SUBCUENTA</v>
      </c>
      <c r="Q101" t="s">
        <v>1966</v>
      </c>
      <c r="S101" t="s">
        <v>1698</v>
      </c>
    </row>
    <row r="102" spans="1:19" x14ac:dyDescent="0.25">
      <c r="A102" s="2"/>
      <c r="B102" s="2"/>
      <c r="C102" s="2">
        <f t="shared" si="2"/>
        <v>2000</v>
      </c>
      <c r="M102" s="34">
        <v>129930</v>
      </c>
      <c r="N102" s="2" t="s">
        <v>339</v>
      </c>
      <c r="O102" s="2" t="s">
        <v>183</v>
      </c>
      <c r="P102" s="2" t="str">
        <f t="shared" si="3"/>
        <v>129930-PAPELES COMERCIALES-SUBCUENTA</v>
      </c>
      <c r="Q102" t="s">
        <v>1967</v>
      </c>
      <c r="S102" t="s">
        <v>1699</v>
      </c>
    </row>
    <row r="103" spans="1:19" x14ac:dyDescent="0.25">
      <c r="A103" s="2"/>
      <c r="B103" s="2"/>
      <c r="C103" s="2">
        <f t="shared" si="2"/>
        <v>2001</v>
      </c>
      <c r="M103" s="34">
        <v>129935</v>
      </c>
      <c r="N103" s="2" t="s">
        <v>343</v>
      </c>
      <c r="O103" s="2" t="s">
        <v>183</v>
      </c>
      <c r="P103" s="2" t="str">
        <f t="shared" si="3"/>
        <v>129935-TITULOS-SUBCUENTA</v>
      </c>
      <c r="Q103" t="s">
        <v>1968</v>
      </c>
      <c r="S103" t="s">
        <v>1700</v>
      </c>
    </row>
    <row r="104" spans="1:19" x14ac:dyDescent="0.25">
      <c r="A104" s="2"/>
      <c r="B104" s="2"/>
      <c r="C104" s="2">
        <f t="shared" si="2"/>
        <v>2002</v>
      </c>
      <c r="M104" s="34">
        <v>129940</v>
      </c>
      <c r="N104" s="2" t="s">
        <v>358</v>
      </c>
      <c r="O104" s="2" t="s">
        <v>183</v>
      </c>
      <c r="P104" s="2" t="str">
        <f t="shared" si="3"/>
        <v>129940-ACEPTACIONES BANCARIAS O FINANCIERAS-SUBCUENTA</v>
      </c>
      <c r="Q104" t="s">
        <v>1969</v>
      </c>
      <c r="S104" t="s">
        <v>1701</v>
      </c>
    </row>
    <row r="105" spans="1:19" x14ac:dyDescent="0.25">
      <c r="A105" s="2"/>
      <c r="B105" s="2"/>
      <c r="C105" s="2">
        <f t="shared" si="2"/>
        <v>2003</v>
      </c>
      <c r="M105" s="34">
        <v>129945</v>
      </c>
      <c r="N105" s="2" t="s">
        <v>362</v>
      </c>
      <c r="O105" s="2" t="s">
        <v>183</v>
      </c>
      <c r="P105" s="2" t="str">
        <f t="shared" si="3"/>
        <v>129945-DERECHOS FIDUCIARIOS-SUBCUENTA</v>
      </c>
      <c r="Q105" t="s">
        <v>1970</v>
      </c>
      <c r="S105" t="s">
        <v>1702</v>
      </c>
    </row>
    <row r="106" spans="1:19" x14ac:dyDescent="0.25">
      <c r="A106" s="2"/>
      <c r="B106" s="2"/>
      <c r="C106" s="2">
        <f t="shared" si="2"/>
        <v>2004</v>
      </c>
      <c r="M106" s="34">
        <v>129950</v>
      </c>
      <c r="N106" s="2" t="s">
        <v>380</v>
      </c>
      <c r="O106" s="2" t="s">
        <v>183</v>
      </c>
      <c r="P106" s="2" t="str">
        <f t="shared" si="3"/>
        <v>129950-DERECHOS DE RECOMPRA DE INVERSIONES NEGOCIADAS-SUBCUENTA</v>
      </c>
      <c r="Q106" t="s">
        <v>1971</v>
      </c>
      <c r="S106" t="s">
        <v>1703</v>
      </c>
    </row>
    <row r="107" spans="1:19" x14ac:dyDescent="0.25">
      <c r="A107" s="2"/>
      <c r="B107" s="2"/>
      <c r="C107" s="2">
        <f t="shared" si="2"/>
        <v>2005</v>
      </c>
      <c r="M107" s="34">
        <v>129955</v>
      </c>
      <c r="N107" s="2" t="s">
        <v>368</v>
      </c>
      <c r="O107" s="2" t="s">
        <v>183</v>
      </c>
      <c r="P107" s="2" t="str">
        <f t="shared" si="3"/>
        <v>129955-OBLIGATORIAS-SUBCUENTA</v>
      </c>
      <c r="Q107" t="s">
        <v>1972</v>
      </c>
      <c r="S107" t="s">
        <v>1704</v>
      </c>
    </row>
    <row r="108" spans="1:19" x14ac:dyDescent="0.25">
      <c r="A108" s="2"/>
      <c r="B108" s="2"/>
      <c r="C108" s="2">
        <f t="shared" si="2"/>
        <v>2006</v>
      </c>
      <c r="M108" s="34">
        <v>129960</v>
      </c>
      <c r="N108" s="2" t="s">
        <v>372</v>
      </c>
      <c r="O108" s="2" t="s">
        <v>183</v>
      </c>
      <c r="P108" s="2" t="str">
        <f t="shared" si="3"/>
        <v>129960-CUENTAS EN PARTICIPACION-SUBCUENTA</v>
      </c>
      <c r="Q108" t="s">
        <v>1973</v>
      </c>
      <c r="S108" t="s">
        <v>1705</v>
      </c>
    </row>
    <row r="109" spans="1:19" x14ac:dyDescent="0.25">
      <c r="A109" s="2"/>
      <c r="B109" s="2"/>
      <c r="C109" s="2">
        <f t="shared" si="2"/>
        <v>2007</v>
      </c>
      <c r="M109" s="34">
        <v>129995</v>
      </c>
      <c r="N109" s="2" t="s">
        <v>373</v>
      </c>
      <c r="O109" s="2" t="s">
        <v>183</v>
      </c>
      <c r="P109" s="2" t="str">
        <f t="shared" si="3"/>
        <v>129995-OTRAS INVERSIONES-SUBCUENTA</v>
      </c>
      <c r="Q109" t="s">
        <v>1974</v>
      </c>
      <c r="S109" t="s">
        <v>1706</v>
      </c>
    </row>
    <row r="110" spans="1:19" x14ac:dyDescent="0.25">
      <c r="A110" s="2"/>
      <c r="B110" s="2"/>
      <c r="C110" s="2">
        <f t="shared" si="2"/>
        <v>2008</v>
      </c>
      <c r="M110" s="34">
        <v>13</v>
      </c>
      <c r="N110" s="2" t="s">
        <v>381</v>
      </c>
      <c r="O110" s="2" t="s">
        <v>181</v>
      </c>
      <c r="P110" s="2" t="str">
        <f t="shared" si="3"/>
        <v>13-DEUDORES-GRUPO</v>
      </c>
      <c r="Q110" t="s">
        <v>1975</v>
      </c>
      <c r="S110" t="s">
        <v>1707</v>
      </c>
    </row>
    <row r="111" spans="1:19" x14ac:dyDescent="0.25">
      <c r="A111" s="2"/>
      <c r="B111" s="2"/>
      <c r="C111" s="2">
        <f t="shared" si="2"/>
        <v>2009</v>
      </c>
      <c r="M111" s="34">
        <v>1305</v>
      </c>
      <c r="N111" s="2" t="s">
        <v>382</v>
      </c>
      <c r="O111" s="2" t="s">
        <v>182</v>
      </c>
      <c r="P111" s="2" t="str">
        <f t="shared" si="3"/>
        <v>1305-CLIENTES-CUENTA</v>
      </c>
      <c r="Q111" t="s">
        <v>1976</v>
      </c>
      <c r="S111" t="s">
        <v>1708</v>
      </c>
    </row>
    <row r="112" spans="1:19" x14ac:dyDescent="0.25">
      <c r="A112" s="2"/>
      <c r="B112" s="2"/>
      <c r="C112" s="2">
        <f t="shared" si="2"/>
        <v>2010</v>
      </c>
      <c r="M112" s="34">
        <v>130505</v>
      </c>
      <c r="N112" s="2" t="s">
        <v>383</v>
      </c>
      <c r="O112" s="2" t="s">
        <v>183</v>
      </c>
      <c r="P112" s="2" t="str">
        <f t="shared" si="3"/>
        <v>130505-NACIONALES-SUBCUENTA</v>
      </c>
      <c r="Q112" t="s">
        <v>1977</v>
      </c>
      <c r="S112" t="s">
        <v>1709</v>
      </c>
    </row>
    <row r="113" spans="1:19" x14ac:dyDescent="0.25">
      <c r="A113" s="2"/>
      <c r="B113" s="2"/>
      <c r="C113" s="2">
        <f t="shared" si="2"/>
        <v>2011</v>
      </c>
      <c r="M113" s="34">
        <v>130510</v>
      </c>
      <c r="N113" s="2" t="s">
        <v>384</v>
      </c>
      <c r="O113" s="2" t="s">
        <v>183</v>
      </c>
      <c r="P113" s="2" t="str">
        <f t="shared" si="3"/>
        <v>130510-DEL EXTERIOR-SUBCUENTA</v>
      </c>
      <c r="Q113" t="s">
        <v>1978</v>
      </c>
      <c r="S113" t="s">
        <v>1710</v>
      </c>
    </row>
    <row r="114" spans="1:19" x14ac:dyDescent="0.25">
      <c r="A114" s="2"/>
      <c r="B114" s="2"/>
      <c r="C114" s="2">
        <f t="shared" si="2"/>
        <v>2012</v>
      </c>
      <c r="M114" s="34">
        <v>130515</v>
      </c>
      <c r="N114" s="2" t="s">
        <v>385</v>
      </c>
      <c r="O114" s="2" t="s">
        <v>183</v>
      </c>
      <c r="P114" s="2" t="str">
        <f t="shared" si="3"/>
        <v>130515-DEUDORES DEL SISTEMA-SUBCUENTA</v>
      </c>
      <c r="Q114" t="s">
        <v>1979</v>
      </c>
      <c r="S114" t="s">
        <v>1711</v>
      </c>
    </row>
    <row r="115" spans="1:19" x14ac:dyDescent="0.25">
      <c r="A115" s="2"/>
      <c r="B115" s="2"/>
      <c r="C115" s="2">
        <f t="shared" si="2"/>
        <v>2013</v>
      </c>
      <c r="M115" s="34">
        <v>1310</v>
      </c>
      <c r="N115" s="2" t="s">
        <v>386</v>
      </c>
      <c r="O115" s="2" t="s">
        <v>182</v>
      </c>
      <c r="P115" s="2" t="str">
        <f t="shared" si="3"/>
        <v>1310-CUENTAS CORRIENTES COMERCIALES-CUENTA</v>
      </c>
      <c r="Q115" t="s">
        <v>1980</v>
      </c>
      <c r="S115" t="s">
        <v>1712</v>
      </c>
    </row>
    <row r="116" spans="1:19" x14ac:dyDescent="0.25">
      <c r="A116" s="2"/>
      <c r="B116" s="2"/>
      <c r="C116" s="2">
        <f t="shared" si="2"/>
        <v>2014</v>
      </c>
      <c r="M116" s="34">
        <v>131005</v>
      </c>
      <c r="N116" s="2" t="s">
        <v>387</v>
      </c>
      <c r="O116" s="2" t="s">
        <v>183</v>
      </c>
      <c r="P116" s="2" t="str">
        <f t="shared" si="3"/>
        <v>131005-CASA MATRIZ-SUBCUENTA</v>
      </c>
      <c r="Q116" t="s">
        <v>1981</v>
      </c>
      <c r="S116" t="s">
        <v>1713</v>
      </c>
    </row>
    <row r="117" spans="1:19" x14ac:dyDescent="0.25">
      <c r="A117" s="2"/>
      <c r="B117" s="2"/>
      <c r="C117" s="2">
        <f t="shared" si="2"/>
        <v>2015</v>
      </c>
      <c r="M117" s="34">
        <v>131010</v>
      </c>
      <c r="N117" s="2" t="s">
        <v>388</v>
      </c>
      <c r="O117" s="2" t="s">
        <v>183</v>
      </c>
      <c r="P117" s="2" t="str">
        <f t="shared" si="3"/>
        <v>131010-COMPAÑIAS VINCULADAS-SUBCUENTA</v>
      </c>
      <c r="Q117" t="s">
        <v>1982</v>
      </c>
      <c r="S117" t="s">
        <v>1714</v>
      </c>
    </row>
    <row r="118" spans="1:19" x14ac:dyDescent="0.25">
      <c r="A118" s="2"/>
      <c r="B118" s="2"/>
      <c r="C118" s="2">
        <f t="shared" si="2"/>
        <v>2016</v>
      </c>
      <c r="M118" s="34">
        <v>131015</v>
      </c>
      <c r="N118" s="2" t="s">
        <v>389</v>
      </c>
      <c r="O118" s="2" t="s">
        <v>183</v>
      </c>
      <c r="P118" s="2" t="str">
        <f t="shared" si="3"/>
        <v>131015-ACCIONISTAS O SOCIOS-SUBCUENTA</v>
      </c>
      <c r="Q118" t="s">
        <v>1983</v>
      </c>
      <c r="S118" t="s">
        <v>1715</v>
      </c>
    </row>
    <row r="119" spans="1:19" x14ac:dyDescent="0.25">
      <c r="A119" s="2"/>
      <c r="B119" s="2"/>
      <c r="C119" s="2">
        <f t="shared" si="2"/>
        <v>2017</v>
      </c>
      <c r="M119" s="34">
        <v>131020</v>
      </c>
      <c r="N119" s="2" t="s">
        <v>390</v>
      </c>
      <c r="O119" s="2" t="s">
        <v>183</v>
      </c>
      <c r="P119" s="2" t="str">
        <f t="shared" si="3"/>
        <v>131020-PARTICULARES-SUBCUENTA</v>
      </c>
      <c r="Q119" t="s">
        <v>1984</v>
      </c>
      <c r="S119" t="s">
        <v>1716</v>
      </c>
    </row>
    <row r="120" spans="1:19" x14ac:dyDescent="0.25">
      <c r="A120" s="2"/>
      <c r="B120" s="2"/>
      <c r="C120" s="2">
        <f t="shared" si="2"/>
        <v>2018</v>
      </c>
      <c r="M120" s="34">
        <v>131095</v>
      </c>
      <c r="N120" s="2" t="s">
        <v>328</v>
      </c>
      <c r="O120" s="2" t="s">
        <v>183</v>
      </c>
      <c r="P120" s="2" t="str">
        <f t="shared" si="3"/>
        <v>131095-OTRAS-SUBCUENTA</v>
      </c>
      <c r="Q120" t="s">
        <v>1985</v>
      </c>
      <c r="S120" t="s">
        <v>1717</v>
      </c>
    </row>
    <row r="121" spans="1:19" x14ac:dyDescent="0.25">
      <c r="A121" s="2"/>
      <c r="B121" s="2"/>
      <c r="C121" s="2">
        <f t="shared" si="2"/>
        <v>2019</v>
      </c>
      <c r="M121" s="34">
        <v>1315</v>
      </c>
      <c r="N121" s="2" t="s">
        <v>391</v>
      </c>
      <c r="O121" s="2" t="s">
        <v>182</v>
      </c>
      <c r="P121" s="2" t="str">
        <f t="shared" si="3"/>
        <v>1315-CUENTAS POR COBRAR A CASA MATRIZ-CUENTA</v>
      </c>
      <c r="Q121" t="s">
        <v>1986</v>
      </c>
      <c r="S121" t="s">
        <v>1718</v>
      </c>
    </row>
    <row r="122" spans="1:19" x14ac:dyDescent="0.25">
      <c r="A122" s="2"/>
      <c r="B122" s="2"/>
      <c r="C122" s="2">
        <f t="shared" si="2"/>
        <v>2020</v>
      </c>
      <c r="M122" s="34">
        <v>131505</v>
      </c>
      <c r="N122" s="2" t="s">
        <v>392</v>
      </c>
      <c r="O122" s="2" t="s">
        <v>183</v>
      </c>
      <c r="P122" s="2" t="str">
        <f t="shared" si="3"/>
        <v>131505-VENTAS-SUBCUENTA</v>
      </c>
      <c r="Q122" t="s">
        <v>1987</v>
      </c>
      <c r="S122" t="s">
        <v>1719</v>
      </c>
    </row>
    <row r="123" spans="1:19" x14ac:dyDescent="0.25">
      <c r="A123" s="2"/>
      <c r="B123" s="2"/>
      <c r="C123" s="2">
        <f t="shared" si="2"/>
        <v>2021</v>
      </c>
      <c r="M123" s="34">
        <v>131510</v>
      </c>
      <c r="N123" s="2" t="s">
        <v>393</v>
      </c>
      <c r="O123" s="2" t="s">
        <v>183</v>
      </c>
      <c r="P123" s="2" t="str">
        <f t="shared" si="3"/>
        <v>131510-PAGOS A NOMBRE DE CASA MATRIZ-SUBCUENTA</v>
      </c>
      <c r="Q123" t="s">
        <v>1988</v>
      </c>
      <c r="S123" t="s">
        <v>1720</v>
      </c>
    </row>
    <row r="124" spans="1:19" x14ac:dyDescent="0.25">
      <c r="A124" s="2"/>
      <c r="B124" s="2"/>
      <c r="C124" s="2">
        <f t="shared" si="2"/>
        <v>2022</v>
      </c>
      <c r="M124" s="34">
        <v>131515</v>
      </c>
      <c r="N124" s="2" t="s">
        <v>394</v>
      </c>
      <c r="O124" s="2" t="s">
        <v>183</v>
      </c>
      <c r="P124" s="2" t="str">
        <f t="shared" si="3"/>
        <v>131515-VALORES RECIBIDOS POR CASA MATRIZ-SUBCUENTA</v>
      </c>
      <c r="Q124" t="s">
        <v>1989</v>
      </c>
      <c r="S124" t="s">
        <v>1721</v>
      </c>
    </row>
    <row r="125" spans="1:19" x14ac:dyDescent="0.25">
      <c r="A125" s="2"/>
      <c r="B125" s="2"/>
      <c r="C125" s="2">
        <f t="shared" si="2"/>
        <v>2023</v>
      </c>
      <c r="M125" s="34">
        <v>131520</v>
      </c>
      <c r="N125" s="2" t="s">
        <v>395</v>
      </c>
      <c r="O125" s="2" t="s">
        <v>183</v>
      </c>
      <c r="P125" s="2" t="str">
        <f t="shared" si="3"/>
        <v>131520-PRESTAMOS-SUBCUENTA</v>
      </c>
      <c r="Q125" t="s">
        <v>1990</v>
      </c>
      <c r="S125" t="s">
        <v>1722</v>
      </c>
    </row>
    <row r="126" spans="1:19" x14ac:dyDescent="0.25">
      <c r="A126" s="2"/>
      <c r="B126" s="2"/>
      <c r="C126" s="2">
        <f t="shared" si="2"/>
        <v>2024</v>
      </c>
      <c r="M126" s="34">
        <v>1320</v>
      </c>
      <c r="N126" s="2" t="s">
        <v>396</v>
      </c>
      <c r="O126" s="2" t="s">
        <v>182</v>
      </c>
      <c r="P126" s="2" t="str">
        <f t="shared" si="3"/>
        <v>1320-CUENTAS POR COBRAR A VINCULADOS ECONOMICOS-CUENTA</v>
      </c>
      <c r="Q126" t="s">
        <v>1991</v>
      </c>
      <c r="S126" t="s">
        <v>1723</v>
      </c>
    </row>
    <row r="127" spans="1:19" x14ac:dyDescent="0.25">
      <c r="A127" s="2"/>
      <c r="B127" s="2"/>
      <c r="C127" s="2">
        <f t="shared" si="2"/>
        <v>2025</v>
      </c>
      <c r="M127" s="34">
        <v>132005</v>
      </c>
      <c r="N127" s="2" t="s">
        <v>397</v>
      </c>
      <c r="O127" s="2" t="s">
        <v>183</v>
      </c>
      <c r="P127" s="2" t="str">
        <f t="shared" si="3"/>
        <v>132005-FILIALES-SUBCUENTA</v>
      </c>
      <c r="Q127" t="s">
        <v>1992</v>
      </c>
      <c r="S127" t="s">
        <v>1724</v>
      </c>
    </row>
    <row r="128" spans="1:19" x14ac:dyDescent="0.25">
      <c r="A128" s="2"/>
      <c r="B128" s="2"/>
      <c r="C128" s="2">
        <f t="shared" si="2"/>
        <v>2026</v>
      </c>
      <c r="M128" s="34">
        <v>132010</v>
      </c>
      <c r="N128" s="2" t="s">
        <v>398</v>
      </c>
      <c r="O128" s="2" t="s">
        <v>183</v>
      </c>
      <c r="P128" s="2" t="str">
        <f t="shared" si="3"/>
        <v>132010-SUBSIDIARIAS-SUBCUENTA</v>
      </c>
      <c r="Q128" t="s">
        <v>1993</v>
      </c>
      <c r="S128" t="s">
        <v>1725</v>
      </c>
    </row>
    <row r="129" spans="1:19" x14ac:dyDescent="0.25">
      <c r="A129" s="2"/>
      <c r="B129" s="2"/>
      <c r="C129" s="2">
        <f t="shared" si="2"/>
        <v>2027</v>
      </c>
      <c r="M129" s="34">
        <v>132015</v>
      </c>
      <c r="N129" s="2" t="s">
        <v>399</v>
      </c>
      <c r="O129" s="2" t="s">
        <v>183</v>
      </c>
      <c r="P129" s="2" t="str">
        <f t="shared" si="3"/>
        <v>132015-SUCURSALES-SUBCUENTA</v>
      </c>
      <c r="Q129" t="s">
        <v>1994</v>
      </c>
      <c r="S129" t="s">
        <v>1726</v>
      </c>
    </row>
    <row r="130" spans="1:19" x14ac:dyDescent="0.25">
      <c r="A130" s="2"/>
      <c r="B130" s="2"/>
      <c r="C130" s="2">
        <f t="shared" si="2"/>
        <v>2028</v>
      </c>
      <c r="M130" s="34">
        <v>1325</v>
      </c>
      <c r="N130" s="2" t="s">
        <v>400</v>
      </c>
      <c r="O130" s="2" t="s">
        <v>182</v>
      </c>
      <c r="P130" s="2" t="str">
        <f t="shared" si="3"/>
        <v>1325-CUENTA S POR COBRAR A SOCIOS Y ACCIONISTAS-CUENTA</v>
      </c>
      <c r="Q130" t="s">
        <v>1995</v>
      </c>
      <c r="S130" t="s">
        <v>1727</v>
      </c>
    </row>
    <row r="131" spans="1:19" x14ac:dyDescent="0.25">
      <c r="A131" s="2"/>
      <c r="B131" s="2"/>
      <c r="C131" s="2">
        <f t="shared" si="2"/>
        <v>2029</v>
      </c>
      <c r="M131" s="34">
        <v>132505</v>
      </c>
      <c r="N131" s="2" t="s">
        <v>401</v>
      </c>
      <c r="O131" s="2" t="s">
        <v>183</v>
      </c>
      <c r="P131" s="2" t="str">
        <f t="shared" si="3"/>
        <v>132505-A SOCIOS-SUBCUENTA</v>
      </c>
      <c r="Q131" t="s">
        <v>1996</v>
      </c>
      <c r="S131" t="s">
        <v>1728</v>
      </c>
    </row>
    <row r="132" spans="1:19" x14ac:dyDescent="0.25">
      <c r="A132" s="2"/>
      <c r="B132" s="2"/>
      <c r="C132" s="2">
        <f t="shared" ref="C132:C162" si="4">C131+1</f>
        <v>2030</v>
      </c>
      <c r="M132" s="34">
        <v>132510</v>
      </c>
      <c r="N132" s="2" t="s">
        <v>402</v>
      </c>
      <c r="O132" s="2" t="s">
        <v>183</v>
      </c>
      <c r="P132" s="2" t="str">
        <f t="shared" ref="P132:P195" si="5">IF(AND(M132&lt;&gt;"",N132&lt;&gt;"",O132&lt;&gt;""),M132&amp;"-"&amp;N132&amp;"-"&amp;O132,IF(AND(M132="",N132&lt;&gt;"",O132&lt;&gt;""),N132&amp;"-"&amp;O132,IF(AND(M132&lt;&gt;"",N132="",O132&lt;&gt;""),M132&amp;"-"&amp;O132,IF(AND(M132&lt;&gt;"",N132&lt;&gt;"",O132=""),M132&amp;"-"&amp;N132,IF(AND(M132&lt;&gt;"",N132="",O132=""),M132,"")))))</f>
        <v>132510-A ACCIONISTAS-SUBCUENTA</v>
      </c>
      <c r="Q132" t="s">
        <v>1837</v>
      </c>
      <c r="S132" t="s">
        <v>1729</v>
      </c>
    </row>
    <row r="133" spans="1:19" x14ac:dyDescent="0.25">
      <c r="A133" s="2"/>
      <c r="B133" s="2"/>
      <c r="C133" s="2">
        <f t="shared" si="4"/>
        <v>2031</v>
      </c>
      <c r="M133" s="34">
        <v>1328</v>
      </c>
      <c r="N133" s="2" t="s">
        <v>403</v>
      </c>
      <c r="O133" s="2" t="s">
        <v>182</v>
      </c>
      <c r="P133" s="2" t="str">
        <f t="shared" si="5"/>
        <v>1328-APORTES POR COBRAR-CUENTA</v>
      </c>
      <c r="Q133" t="s">
        <v>1997</v>
      </c>
      <c r="S133" t="s">
        <v>1730</v>
      </c>
    </row>
    <row r="134" spans="1:19" x14ac:dyDescent="0.25">
      <c r="A134" s="2"/>
      <c r="B134" s="2"/>
      <c r="C134" s="2">
        <f t="shared" si="4"/>
        <v>2032</v>
      </c>
      <c r="M134" s="34" t="s">
        <v>189</v>
      </c>
      <c r="N134" s="2" t="s">
        <v>188</v>
      </c>
      <c r="O134" s="2" t="s">
        <v>188</v>
      </c>
      <c r="P134" s="2" t="str">
        <f t="shared" si="5"/>
        <v xml:space="preserve">132801 a 132898 </v>
      </c>
      <c r="Q134" t="s">
        <v>1998</v>
      </c>
      <c r="S134" t="s">
        <v>1731</v>
      </c>
    </row>
    <row r="135" spans="1:19" x14ac:dyDescent="0.25">
      <c r="A135" s="2"/>
      <c r="B135" s="2"/>
      <c r="C135" s="2">
        <f t="shared" si="4"/>
        <v>2033</v>
      </c>
      <c r="M135" s="34">
        <v>1330</v>
      </c>
      <c r="N135" s="2" t="s">
        <v>404</v>
      </c>
      <c r="O135" s="2" t="s">
        <v>182</v>
      </c>
      <c r="P135" s="2" t="str">
        <f t="shared" si="5"/>
        <v>1330-ANTICIPOS Y AVANCES-CUENTA</v>
      </c>
      <c r="Q135" t="s">
        <v>1999</v>
      </c>
      <c r="S135" t="s">
        <v>1732</v>
      </c>
    </row>
    <row r="136" spans="1:19" x14ac:dyDescent="0.25">
      <c r="A136" s="2"/>
      <c r="B136" s="2"/>
      <c r="C136" s="2">
        <f t="shared" si="4"/>
        <v>2034</v>
      </c>
      <c r="M136" s="34">
        <v>133005</v>
      </c>
      <c r="N136" s="2" t="s">
        <v>405</v>
      </c>
      <c r="O136" s="2" t="s">
        <v>183</v>
      </c>
      <c r="P136" s="2" t="str">
        <f t="shared" si="5"/>
        <v>133005-A PROVEEDORES-SUBCUENTA</v>
      </c>
      <c r="Q136" t="s">
        <v>2000</v>
      </c>
      <c r="S136" t="s">
        <v>1733</v>
      </c>
    </row>
    <row r="137" spans="1:19" x14ac:dyDescent="0.25">
      <c r="A137" s="2"/>
      <c r="B137" s="2"/>
      <c r="C137" s="2">
        <f t="shared" si="4"/>
        <v>2035</v>
      </c>
      <c r="M137" s="34">
        <v>133010</v>
      </c>
      <c r="N137" s="2" t="s">
        <v>406</v>
      </c>
      <c r="O137" s="2" t="s">
        <v>183</v>
      </c>
      <c r="P137" s="2" t="str">
        <f t="shared" si="5"/>
        <v>133010-A CONTRATISTAS-SUBCUENTA</v>
      </c>
      <c r="Q137" t="s">
        <v>2001</v>
      </c>
      <c r="S137" t="s">
        <v>1734</v>
      </c>
    </row>
    <row r="138" spans="1:19" x14ac:dyDescent="0.25">
      <c r="A138" s="2"/>
      <c r="B138" s="2"/>
      <c r="C138" s="2">
        <f t="shared" si="4"/>
        <v>2036</v>
      </c>
      <c r="M138" s="34">
        <v>133015</v>
      </c>
      <c r="N138" s="2" t="s">
        <v>407</v>
      </c>
      <c r="O138" s="2" t="s">
        <v>183</v>
      </c>
      <c r="P138" s="2" t="str">
        <f t="shared" si="5"/>
        <v>133015-A TRABAJADORES-SUBCUENTA</v>
      </c>
      <c r="Q138" t="s">
        <v>2002</v>
      </c>
      <c r="S138" t="s">
        <v>1735</v>
      </c>
    </row>
    <row r="139" spans="1:19" x14ac:dyDescent="0.25">
      <c r="A139" s="2"/>
      <c r="B139" s="2"/>
      <c r="C139" s="2">
        <f t="shared" si="4"/>
        <v>2037</v>
      </c>
      <c r="M139" s="34">
        <v>133020</v>
      </c>
      <c r="N139" s="2" t="s">
        <v>408</v>
      </c>
      <c r="O139" s="2" t="s">
        <v>183</v>
      </c>
      <c r="P139" s="2" t="str">
        <f t="shared" si="5"/>
        <v>133020-A AGENTES-SUBCUENTA</v>
      </c>
      <c r="Q139" t="s">
        <v>2003</v>
      </c>
      <c r="S139" t="s">
        <v>1736</v>
      </c>
    </row>
    <row r="140" spans="1:19" x14ac:dyDescent="0.25">
      <c r="A140" s="2"/>
      <c r="B140" s="2"/>
      <c r="C140" s="2">
        <f t="shared" si="4"/>
        <v>2038</v>
      </c>
      <c r="M140" s="34">
        <v>133025</v>
      </c>
      <c r="N140" s="2" t="s">
        <v>409</v>
      </c>
      <c r="O140" s="2" t="s">
        <v>183</v>
      </c>
      <c r="P140" s="2" t="str">
        <f t="shared" si="5"/>
        <v>133025-A CONCESIONARIOS-SUBCUENTA</v>
      </c>
      <c r="Q140" t="s">
        <v>2004</v>
      </c>
      <c r="S140" t="s">
        <v>1737</v>
      </c>
    </row>
    <row r="141" spans="1:19" x14ac:dyDescent="0.25">
      <c r="A141" s="2"/>
      <c r="B141" s="2"/>
      <c r="C141" s="2">
        <f t="shared" si="4"/>
        <v>2039</v>
      </c>
      <c r="M141" s="34">
        <v>133030</v>
      </c>
      <c r="N141" s="2" t="s">
        <v>410</v>
      </c>
      <c r="O141" s="2" t="s">
        <v>183</v>
      </c>
      <c r="P141" s="2" t="str">
        <f t="shared" si="5"/>
        <v>133030-DE ADJUDICACIONES-SUBCUENTA</v>
      </c>
      <c r="Q141" t="s">
        <v>2005</v>
      </c>
      <c r="S141" t="s">
        <v>1738</v>
      </c>
    </row>
    <row r="142" spans="1:19" x14ac:dyDescent="0.25">
      <c r="A142" s="2"/>
      <c r="B142" s="2"/>
      <c r="C142" s="2">
        <f t="shared" si="4"/>
        <v>2040</v>
      </c>
      <c r="M142" s="34">
        <v>133095</v>
      </c>
      <c r="N142" s="2" t="s">
        <v>323</v>
      </c>
      <c r="O142" s="2" t="s">
        <v>183</v>
      </c>
      <c r="P142" s="2" t="str">
        <f t="shared" si="5"/>
        <v>133095-OTROS-SUBCUENTA</v>
      </c>
      <c r="Q142" t="s">
        <v>2006</v>
      </c>
      <c r="S142" t="s">
        <v>1739</v>
      </c>
    </row>
    <row r="143" spans="1:19" x14ac:dyDescent="0.25">
      <c r="A143" s="2"/>
      <c r="B143" s="2"/>
      <c r="C143" s="2">
        <f t="shared" si="4"/>
        <v>2041</v>
      </c>
      <c r="M143" s="34">
        <v>1332</v>
      </c>
      <c r="N143" s="2" t="s">
        <v>411</v>
      </c>
      <c r="O143" s="2" t="s">
        <v>182</v>
      </c>
      <c r="P143" s="2" t="str">
        <f t="shared" si="5"/>
        <v>1332-CUENTAS DE OPERACION CONJUNTA-CUENTA</v>
      </c>
      <c r="Q143" t="s">
        <v>2007</v>
      </c>
      <c r="S143" t="s">
        <v>1740</v>
      </c>
    </row>
    <row r="144" spans="1:19" x14ac:dyDescent="0.25">
      <c r="A144" s="2"/>
      <c r="B144" s="2"/>
      <c r="C144" s="2">
        <f t="shared" si="4"/>
        <v>2042</v>
      </c>
      <c r="M144" s="34" t="s">
        <v>190</v>
      </c>
      <c r="N144" s="2" t="s">
        <v>188</v>
      </c>
      <c r="O144" s="2" t="s">
        <v>188</v>
      </c>
      <c r="P144" s="2" t="str">
        <f t="shared" si="5"/>
        <v xml:space="preserve">133201 a 133298 </v>
      </c>
      <c r="Q144" t="s">
        <v>2008</v>
      </c>
      <c r="S144" t="s">
        <v>1741</v>
      </c>
    </row>
    <row r="145" spans="1:19" x14ac:dyDescent="0.25">
      <c r="A145" s="2"/>
      <c r="B145" s="2"/>
      <c r="C145" s="2">
        <f t="shared" si="4"/>
        <v>2043</v>
      </c>
      <c r="M145" s="34">
        <v>1335</v>
      </c>
      <c r="N145" s="2" t="s">
        <v>412</v>
      </c>
      <c r="O145" s="2" t="s">
        <v>182</v>
      </c>
      <c r="P145" s="2" t="str">
        <f t="shared" si="5"/>
        <v>1335-DEPOSITOS-CUENTA</v>
      </c>
      <c r="Q145" t="s">
        <v>2009</v>
      </c>
      <c r="S145" t="s">
        <v>1742</v>
      </c>
    </row>
    <row r="146" spans="1:19" x14ac:dyDescent="0.25">
      <c r="A146" s="2"/>
      <c r="B146" s="2"/>
      <c r="C146" s="2">
        <f t="shared" si="4"/>
        <v>2044</v>
      </c>
      <c r="M146" s="34">
        <v>133505</v>
      </c>
      <c r="N146" s="2" t="s">
        <v>413</v>
      </c>
      <c r="O146" s="2" t="s">
        <v>183</v>
      </c>
      <c r="P146" s="2" t="str">
        <f t="shared" si="5"/>
        <v>133505-PARA IMPORTACIONES-SUBCUENTA</v>
      </c>
      <c r="Q146" t="s">
        <v>2010</v>
      </c>
      <c r="S146" t="s">
        <v>1743</v>
      </c>
    </row>
    <row r="147" spans="1:19" x14ac:dyDescent="0.25">
      <c r="A147" s="2"/>
      <c r="B147" s="2"/>
      <c r="C147" s="2">
        <f t="shared" si="4"/>
        <v>2045</v>
      </c>
      <c r="M147" s="34">
        <v>133510</v>
      </c>
      <c r="N147" s="2" t="s">
        <v>414</v>
      </c>
      <c r="O147" s="2" t="s">
        <v>183</v>
      </c>
      <c r="P147" s="2" t="str">
        <f t="shared" si="5"/>
        <v>133510-PARA SERVICIOS-SUBCUENTA</v>
      </c>
      <c r="Q147" t="s">
        <v>2011</v>
      </c>
      <c r="S147" t="s">
        <v>1744</v>
      </c>
    </row>
    <row r="148" spans="1:19" x14ac:dyDescent="0.25">
      <c r="A148" s="2"/>
      <c r="B148" s="2"/>
      <c r="C148" s="2">
        <f t="shared" si="4"/>
        <v>2046</v>
      </c>
      <c r="M148" s="34">
        <v>133515</v>
      </c>
      <c r="N148" s="2" t="s">
        <v>415</v>
      </c>
      <c r="O148" s="2" t="s">
        <v>183</v>
      </c>
      <c r="P148" s="2" t="str">
        <f t="shared" si="5"/>
        <v>133515-PARA CONTRATOS-SUBCUENTA</v>
      </c>
      <c r="Q148" t="s">
        <v>2012</v>
      </c>
      <c r="S148" t="s">
        <v>1745</v>
      </c>
    </row>
    <row r="149" spans="1:19" x14ac:dyDescent="0.25">
      <c r="A149" s="2"/>
      <c r="B149" s="2"/>
      <c r="C149" s="2">
        <f t="shared" si="4"/>
        <v>2047</v>
      </c>
      <c r="M149" s="34">
        <v>133520</v>
      </c>
      <c r="N149" s="2" t="s">
        <v>416</v>
      </c>
      <c r="O149" s="2" t="s">
        <v>183</v>
      </c>
      <c r="P149" s="2" t="str">
        <f t="shared" si="5"/>
        <v>133520-PARA RESPONSABILIDADES-SUBCUENTA</v>
      </c>
      <c r="Q149" t="s">
        <v>2013</v>
      </c>
      <c r="S149" t="s">
        <v>1746</v>
      </c>
    </row>
    <row r="150" spans="1:19" x14ac:dyDescent="0.25">
      <c r="A150" s="2"/>
      <c r="B150" s="2"/>
      <c r="C150" s="2">
        <f t="shared" si="4"/>
        <v>2048</v>
      </c>
      <c r="M150" s="34">
        <v>133525</v>
      </c>
      <c r="N150" s="2" t="s">
        <v>417</v>
      </c>
      <c r="O150" s="2" t="s">
        <v>183</v>
      </c>
      <c r="P150" s="2" t="str">
        <f t="shared" si="5"/>
        <v>133525-PARA JUICIOS EJECUTIVOS-SUBCUENTA</v>
      </c>
      <c r="Q150" t="s">
        <v>2014</v>
      </c>
      <c r="S150" t="s">
        <v>1747</v>
      </c>
    </row>
    <row r="151" spans="1:19" x14ac:dyDescent="0.25">
      <c r="A151" s="2"/>
      <c r="B151" s="2"/>
      <c r="C151" s="2">
        <f t="shared" si="4"/>
        <v>2049</v>
      </c>
      <c r="M151" s="34">
        <v>133530</v>
      </c>
      <c r="N151" s="2" t="s">
        <v>418</v>
      </c>
      <c r="O151" s="2" t="s">
        <v>183</v>
      </c>
      <c r="P151" s="2" t="str">
        <f t="shared" si="5"/>
        <v>133530-PARA ADQUISICION DE ACCIONES, CUOTAS O DERECHOS SOCIALES-SUBCUENTA</v>
      </c>
      <c r="Q151" t="s">
        <v>2015</v>
      </c>
      <c r="S151" t="s">
        <v>1748</v>
      </c>
    </row>
    <row r="152" spans="1:19" x14ac:dyDescent="0.25">
      <c r="A152" s="2"/>
      <c r="B152" s="2"/>
      <c r="C152" s="2">
        <f t="shared" si="4"/>
        <v>2050</v>
      </c>
      <c r="M152" s="34">
        <v>133535</v>
      </c>
      <c r="N152" s="2" t="s">
        <v>419</v>
      </c>
      <c r="O152" s="2" t="s">
        <v>183</v>
      </c>
      <c r="P152" s="2" t="str">
        <f t="shared" si="5"/>
        <v>133535-EN GARANTIA-SUBCUENTA</v>
      </c>
      <c r="Q152" t="s">
        <v>2016</v>
      </c>
      <c r="S152" t="s">
        <v>1749</v>
      </c>
    </row>
    <row r="153" spans="1:19" x14ac:dyDescent="0.25">
      <c r="A153" s="2"/>
      <c r="B153" s="2"/>
      <c r="C153" s="2">
        <f t="shared" si="4"/>
        <v>2051</v>
      </c>
      <c r="M153" s="34">
        <v>133595</v>
      </c>
      <c r="N153" s="2" t="s">
        <v>323</v>
      </c>
      <c r="O153" s="2" t="s">
        <v>183</v>
      </c>
      <c r="P153" s="2" t="str">
        <f t="shared" si="5"/>
        <v>133595-OTROS-SUBCUENTA</v>
      </c>
      <c r="Q153" t="s">
        <v>2017</v>
      </c>
      <c r="S153" t="s">
        <v>1750</v>
      </c>
    </row>
    <row r="154" spans="1:19" x14ac:dyDescent="0.25">
      <c r="A154" s="2"/>
      <c r="B154" s="2"/>
      <c r="C154" s="2">
        <f t="shared" si="4"/>
        <v>2052</v>
      </c>
      <c r="M154" s="34">
        <v>1340</v>
      </c>
      <c r="N154" s="2" t="s">
        <v>420</v>
      </c>
      <c r="O154" s="2" t="s">
        <v>182</v>
      </c>
      <c r="P154" s="2" t="str">
        <f t="shared" si="5"/>
        <v>1340-PROMESAS DE COMPRA VENTA-CUENTA</v>
      </c>
      <c r="Q154" t="s">
        <v>2018</v>
      </c>
      <c r="S154" t="s">
        <v>1751</v>
      </c>
    </row>
    <row r="155" spans="1:19" x14ac:dyDescent="0.25">
      <c r="A155" s="2"/>
      <c r="B155" s="2"/>
      <c r="C155" s="2">
        <f t="shared" si="4"/>
        <v>2053</v>
      </c>
      <c r="M155" s="34">
        <v>134005</v>
      </c>
      <c r="N155" s="2" t="s">
        <v>421</v>
      </c>
      <c r="O155" s="2" t="s">
        <v>183</v>
      </c>
      <c r="P155" s="2" t="str">
        <f t="shared" si="5"/>
        <v>134005-DE BIENES RAICES-SUBCUENTA</v>
      </c>
      <c r="Q155" t="s">
        <v>2019</v>
      </c>
      <c r="S155" t="s">
        <v>1752</v>
      </c>
    </row>
    <row r="156" spans="1:19" x14ac:dyDescent="0.25">
      <c r="A156" s="2"/>
      <c r="B156" s="2"/>
      <c r="C156" s="2">
        <f t="shared" si="4"/>
        <v>2054</v>
      </c>
      <c r="M156" s="34">
        <v>134010</v>
      </c>
      <c r="N156" s="2" t="s">
        <v>422</v>
      </c>
      <c r="O156" s="2" t="s">
        <v>183</v>
      </c>
      <c r="P156" s="2" t="str">
        <f t="shared" si="5"/>
        <v>134010-DE MAQUINARIA Y EQUIPO-SUBCUENTA</v>
      </c>
      <c r="Q156" t="s">
        <v>2020</v>
      </c>
      <c r="S156" t="s">
        <v>1753</v>
      </c>
    </row>
    <row r="157" spans="1:19" x14ac:dyDescent="0.25">
      <c r="A157" s="2"/>
      <c r="B157" s="2"/>
      <c r="C157" s="2">
        <f t="shared" si="4"/>
        <v>2055</v>
      </c>
      <c r="M157" s="34">
        <v>134015</v>
      </c>
      <c r="N157" s="2" t="s">
        <v>423</v>
      </c>
      <c r="O157" s="2" t="s">
        <v>183</v>
      </c>
      <c r="P157" s="2" t="str">
        <f t="shared" si="5"/>
        <v>134015-DE FLOTA Y EQUIPO DE TRANSPORTE-SUBCUENTA</v>
      </c>
      <c r="Q157" t="s">
        <v>2021</v>
      </c>
      <c r="S157" t="s">
        <v>1754</v>
      </c>
    </row>
    <row r="158" spans="1:19" x14ac:dyDescent="0.25">
      <c r="A158" s="2"/>
      <c r="B158" s="2"/>
      <c r="C158" s="2">
        <f t="shared" si="4"/>
        <v>2056</v>
      </c>
      <c r="M158" s="34">
        <v>134020</v>
      </c>
      <c r="N158" s="2" t="s">
        <v>424</v>
      </c>
      <c r="O158" s="2" t="s">
        <v>183</v>
      </c>
      <c r="P158" s="2" t="str">
        <f t="shared" si="5"/>
        <v>134020-DE FLOTA Y EQUIPO AEREO-SUBCUENTA</v>
      </c>
      <c r="Q158" t="s">
        <v>2022</v>
      </c>
      <c r="S158" t="s">
        <v>1755</v>
      </c>
    </row>
    <row r="159" spans="1:19" x14ac:dyDescent="0.25">
      <c r="A159" s="2"/>
      <c r="B159" s="2"/>
      <c r="C159" s="2">
        <f t="shared" si="4"/>
        <v>2057</v>
      </c>
      <c r="M159" s="34">
        <v>134025</v>
      </c>
      <c r="N159" s="2" t="s">
        <v>425</v>
      </c>
      <c r="O159" s="2" t="s">
        <v>183</v>
      </c>
      <c r="P159" s="2" t="str">
        <f t="shared" si="5"/>
        <v>134025-DE FLOTA Y EQUIPO FERREO-SUBCUENTA</v>
      </c>
      <c r="Q159" t="s">
        <v>2023</v>
      </c>
      <c r="S159" t="s">
        <v>1756</v>
      </c>
    </row>
    <row r="160" spans="1:19" x14ac:dyDescent="0.25">
      <c r="A160" s="2"/>
      <c r="B160" s="2"/>
      <c r="C160" s="2">
        <f t="shared" si="4"/>
        <v>2058</v>
      </c>
      <c r="M160" s="34">
        <v>134030</v>
      </c>
      <c r="N160" s="2" t="s">
        <v>426</v>
      </c>
      <c r="O160" s="2" t="s">
        <v>183</v>
      </c>
      <c r="P160" s="2" t="str">
        <f t="shared" si="5"/>
        <v>134030-DE FLOTA Y EQUIPO FLUVIAL Y/O MARITIMO-SUBCUENTA</v>
      </c>
      <c r="Q160" t="s">
        <v>2024</v>
      </c>
      <c r="S160" t="s">
        <v>1757</v>
      </c>
    </row>
    <row r="161" spans="1:19" x14ac:dyDescent="0.25">
      <c r="A161" s="2"/>
      <c r="B161" s="2"/>
      <c r="C161" s="2">
        <f t="shared" si="4"/>
        <v>2059</v>
      </c>
      <c r="M161" s="34">
        <v>134035</v>
      </c>
      <c r="N161" s="2" t="s">
        <v>427</v>
      </c>
      <c r="O161" s="2" t="s">
        <v>183</v>
      </c>
      <c r="P161" s="2" t="str">
        <f t="shared" si="5"/>
        <v>134035-DE SEMOVIENTES-SUBCUENTA</v>
      </c>
      <c r="Q161" t="s">
        <v>2025</v>
      </c>
      <c r="S161" t="s">
        <v>1758</v>
      </c>
    </row>
    <row r="162" spans="1:19" x14ac:dyDescent="0.25">
      <c r="A162" s="2"/>
      <c r="B162" s="2"/>
      <c r="C162" s="2">
        <f t="shared" si="4"/>
        <v>2060</v>
      </c>
      <c r="M162" s="34">
        <v>134095</v>
      </c>
      <c r="N162" s="2" t="s">
        <v>428</v>
      </c>
      <c r="O162" s="2" t="s">
        <v>183</v>
      </c>
      <c r="P162" s="2" t="str">
        <f t="shared" si="5"/>
        <v>134095-DE OTROS BIENES-SUBCUENTA</v>
      </c>
      <c r="Q162" t="s">
        <v>2026</v>
      </c>
      <c r="S162" t="s">
        <v>1759</v>
      </c>
    </row>
    <row r="163" spans="1:19" x14ac:dyDescent="0.25">
      <c r="M163" s="34">
        <v>1345</v>
      </c>
      <c r="N163" s="2" t="s">
        <v>429</v>
      </c>
      <c r="O163" s="2" t="s">
        <v>182</v>
      </c>
      <c r="P163" s="2" t="str">
        <f t="shared" si="5"/>
        <v>1345-INGRESOS POR COBRAR-CUENTA</v>
      </c>
      <c r="Q163" t="s">
        <v>2027</v>
      </c>
      <c r="S163" t="s">
        <v>1760</v>
      </c>
    </row>
    <row r="164" spans="1:19" x14ac:dyDescent="0.25">
      <c r="M164" s="34">
        <v>134505</v>
      </c>
      <c r="N164" s="2" t="s">
        <v>430</v>
      </c>
      <c r="O164" s="2" t="s">
        <v>183</v>
      </c>
      <c r="P164" s="2" t="str">
        <f t="shared" si="5"/>
        <v>134505-DIVIDENDOS Y/O PARTICIPACIONES-SUBCUENTA</v>
      </c>
      <c r="Q164" t="s">
        <v>2028</v>
      </c>
      <c r="S164" t="s">
        <v>1761</v>
      </c>
    </row>
    <row r="165" spans="1:19" x14ac:dyDescent="0.25">
      <c r="M165" s="34">
        <v>134510</v>
      </c>
      <c r="N165" s="2" t="s">
        <v>431</v>
      </c>
      <c r="O165" s="2" t="s">
        <v>183</v>
      </c>
      <c r="P165" s="2" t="str">
        <f t="shared" si="5"/>
        <v>134510-INTERESES-SUBCUENTA</v>
      </c>
      <c r="Q165" t="s">
        <v>2029</v>
      </c>
      <c r="S165" t="s">
        <v>1762</v>
      </c>
    </row>
    <row r="166" spans="1:19" x14ac:dyDescent="0.25">
      <c r="M166" s="34">
        <v>134515</v>
      </c>
      <c r="N166" s="2" t="s">
        <v>432</v>
      </c>
      <c r="O166" s="2" t="s">
        <v>183</v>
      </c>
      <c r="P166" s="2" t="str">
        <f t="shared" si="5"/>
        <v>134515-COMISIONES-SUBCUENTA</v>
      </c>
      <c r="Q166" t="s">
        <v>2030</v>
      </c>
      <c r="S166" t="s">
        <v>1763</v>
      </c>
    </row>
    <row r="167" spans="1:19" x14ac:dyDescent="0.25">
      <c r="M167" s="34">
        <v>134520</v>
      </c>
      <c r="N167" s="2" t="s">
        <v>433</v>
      </c>
      <c r="O167" s="2" t="s">
        <v>183</v>
      </c>
      <c r="P167" s="2" t="str">
        <f t="shared" si="5"/>
        <v>134520-HONORARIOS-SUBCUENTA</v>
      </c>
      <c r="Q167" t="s">
        <v>2031</v>
      </c>
      <c r="S167" t="s">
        <v>1764</v>
      </c>
    </row>
    <row r="168" spans="1:19" x14ac:dyDescent="0.25">
      <c r="M168" s="34">
        <v>134525</v>
      </c>
      <c r="N168" s="2" t="s">
        <v>434</v>
      </c>
      <c r="O168" s="2" t="s">
        <v>183</v>
      </c>
      <c r="P168" s="2" t="str">
        <f t="shared" si="5"/>
        <v>134525-SERVICIOS-SUBCUENTA</v>
      </c>
      <c r="Q168" t="s">
        <v>2032</v>
      </c>
      <c r="S168" t="s">
        <v>1765</v>
      </c>
    </row>
    <row r="169" spans="1:19" x14ac:dyDescent="0.25">
      <c r="M169" s="34">
        <v>134530</v>
      </c>
      <c r="N169" s="2" t="s">
        <v>435</v>
      </c>
      <c r="O169" s="2" t="s">
        <v>183</v>
      </c>
      <c r="P169" s="2" t="str">
        <f t="shared" si="5"/>
        <v>134530-ARRENDAMIENTOS-SUBCUENTA</v>
      </c>
      <c r="Q169" t="s">
        <v>2033</v>
      </c>
      <c r="S169" t="s">
        <v>1766</v>
      </c>
    </row>
    <row r="170" spans="1:19" x14ac:dyDescent="0.25">
      <c r="M170" s="34">
        <v>134535</v>
      </c>
      <c r="N170" s="2" t="s">
        <v>436</v>
      </c>
      <c r="O170" s="2" t="s">
        <v>183</v>
      </c>
      <c r="P170" s="2" t="str">
        <f t="shared" si="5"/>
        <v>134535-CERT POR COBRAR-SUBCUENTA</v>
      </c>
      <c r="Q170" t="s">
        <v>2034</v>
      </c>
      <c r="S170" t="s">
        <v>1767</v>
      </c>
    </row>
    <row r="171" spans="1:19" x14ac:dyDescent="0.25">
      <c r="M171" s="34">
        <v>134595</v>
      </c>
      <c r="N171" s="2" t="s">
        <v>323</v>
      </c>
      <c r="O171" s="2" t="s">
        <v>183</v>
      </c>
      <c r="P171" s="2" t="str">
        <f t="shared" si="5"/>
        <v>134595-OTROS-SUBCUENTA</v>
      </c>
      <c r="Q171" t="s">
        <v>2035</v>
      </c>
      <c r="S171" t="s">
        <v>1768</v>
      </c>
    </row>
    <row r="172" spans="1:19" x14ac:dyDescent="0.25">
      <c r="M172" s="34">
        <v>1350</v>
      </c>
      <c r="N172" s="2" t="s">
        <v>437</v>
      </c>
      <c r="O172" s="2" t="s">
        <v>182</v>
      </c>
      <c r="P172" s="2" t="str">
        <f t="shared" si="5"/>
        <v>1350-RETENCION SOBRE CONTRATOS-CUENTA</v>
      </c>
      <c r="Q172" t="s">
        <v>2036</v>
      </c>
      <c r="S172" t="s">
        <v>1769</v>
      </c>
    </row>
    <row r="173" spans="1:19" x14ac:dyDescent="0.25">
      <c r="M173" s="34">
        <v>135005</v>
      </c>
      <c r="N173" s="2" t="s">
        <v>438</v>
      </c>
      <c r="O173" s="2" t="s">
        <v>183</v>
      </c>
      <c r="P173" s="2" t="str">
        <f t="shared" si="5"/>
        <v>135005-DE CONSTRUCCION-SUBCUENTA</v>
      </c>
      <c r="Q173" t="s">
        <v>2037</v>
      </c>
      <c r="S173" t="s">
        <v>1770</v>
      </c>
    </row>
    <row r="174" spans="1:19" x14ac:dyDescent="0.25">
      <c r="M174" s="34">
        <v>135010</v>
      </c>
      <c r="N174" s="2" t="s">
        <v>439</v>
      </c>
      <c r="O174" s="2" t="s">
        <v>183</v>
      </c>
      <c r="P174" s="2" t="str">
        <f t="shared" si="5"/>
        <v>135010-DE PRESTACION DE SERVICIOS-SUBCUENTA</v>
      </c>
      <c r="Q174" t="s">
        <v>2038</v>
      </c>
      <c r="S174" t="s">
        <v>1771</v>
      </c>
    </row>
    <row r="175" spans="1:19" x14ac:dyDescent="0.25">
      <c r="M175" s="34">
        <v>135095</v>
      </c>
      <c r="N175" s="2" t="s">
        <v>323</v>
      </c>
      <c r="O175" s="2" t="s">
        <v>183</v>
      </c>
      <c r="P175" s="2" t="str">
        <f t="shared" si="5"/>
        <v>135095-OTROS-SUBCUENTA</v>
      </c>
      <c r="Q175" t="s">
        <v>2039</v>
      </c>
      <c r="S175" t="s">
        <v>1772</v>
      </c>
    </row>
    <row r="176" spans="1:19" x14ac:dyDescent="0.25">
      <c r="M176" s="34">
        <v>1355</v>
      </c>
      <c r="N176" s="2" t="s">
        <v>440</v>
      </c>
      <c r="O176" s="2" t="s">
        <v>182</v>
      </c>
      <c r="P176" s="2" t="str">
        <f t="shared" si="5"/>
        <v>1355-ANTICIPO DE IMPUESTOS Y CONTRIBUCIONES O SALDOS A FAVOR-CUENTA</v>
      </c>
      <c r="Q176" t="s">
        <v>2040</v>
      </c>
      <c r="S176" t="s">
        <v>1773</v>
      </c>
    </row>
    <row r="177" spans="13:19" x14ac:dyDescent="0.25">
      <c r="M177" s="34">
        <v>135505</v>
      </c>
      <c r="N177" s="2" t="s">
        <v>441</v>
      </c>
      <c r="O177" s="2" t="s">
        <v>183</v>
      </c>
      <c r="P177" s="2" t="str">
        <f t="shared" si="5"/>
        <v>135505-ANTICIPO DE IMPUESTOS DE RENTA Y COMPLEMENTARIOS-SUBCUENTA</v>
      </c>
      <c r="Q177" t="s">
        <v>2041</v>
      </c>
      <c r="S177" t="s">
        <v>1774</v>
      </c>
    </row>
    <row r="178" spans="13:19" x14ac:dyDescent="0.25">
      <c r="M178" s="34">
        <v>135510</v>
      </c>
      <c r="N178" s="2" t="s">
        <v>442</v>
      </c>
      <c r="O178" s="2" t="s">
        <v>183</v>
      </c>
      <c r="P178" s="2" t="str">
        <f t="shared" si="5"/>
        <v>135510-ANTICIPO DE IMPUESTOS DE INDUSTRIA Y COMERCIO-SUBCUENTA</v>
      </c>
      <c r="Q178" t="s">
        <v>2042</v>
      </c>
      <c r="S178" t="s">
        <v>1775</v>
      </c>
    </row>
    <row r="179" spans="13:19" x14ac:dyDescent="0.25">
      <c r="M179" s="34">
        <v>135515</v>
      </c>
      <c r="N179" s="2" t="s">
        <v>443</v>
      </c>
      <c r="O179" s="2" t="s">
        <v>183</v>
      </c>
      <c r="P179" s="2" t="str">
        <f t="shared" si="5"/>
        <v>135515-RETENCION EN LA FUENTE-SUBCUENTA</v>
      </c>
      <c r="Q179" t="s">
        <v>2043</v>
      </c>
      <c r="S179" t="s">
        <v>1776</v>
      </c>
    </row>
    <row r="180" spans="13:19" x14ac:dyDescent="0.25">
      <c r="M180" s="34">
        <v>135520</v>
      </c>
      <c r="N180" s="2" t="s">
        <v>444</v>
      </c>
      <c r="O180" s="2" t="s">
        <v>183</v>
      </c>
      <c r="P180" s="2" t="str">
        <f t="shared" si="5"/>
        <v>135520-SOBRANTES EN LIQUIDACION PRIVADA DE IMPUESTOS-SUBCUENTA</v>
      </c>
      <c r="Q180" t="s">
        <v>2044</v>
      </c>
      <c r="S180" t="s">
        <v>1777</v>
      </c>
    </row>
    <row r="181" spans="13:19" x14ac:dyDescent="0.25">
      <c r="M181" s="34">
        <v>135525</v>
      </c>
      <c r="N181" s="2" t="s">
        <v>445</v>
      </c>
      <c r="O181" s="2" t="s">
        <v>183</v>
      </c>
      <c r="P181" s="2" t="str">
        <f t="shared" si="5"/>
        <v>135525-CONTRIBUCIONES-SUBCUENTA</v>
      </c>
      <c r="Q181" t="s">
        <v>2045</v>
      </c>
      <c r="S181" t="s">
        <v>1778</v>
      </c>
    </row>
    <row r="182" spans="13:19" x14ac:dyDescent="0.25">
      <c r="M182" s="34">
        <v>135530</v>
      </c>
      <c r="N182" s="2" t="s">
        <v>446</v>
      </c>
      <c r="O182" s="2" t="s">
        <v>183</v>
      </c>
      <c r="P182" s="2" t="str">
        <f t="shared" si="5"/>
        <v>135530-IMPUESTOS DESCONTABLES-SUBCUENTA</v>
      </c>
      <c r="Q182" t="s">
        <v>2046</v>
      </c>
      <c r="S182" t="s">
        <v>1779</v>
      </c>
    </row>
    <row r="183" spans="13:19" x14ac:dyDescent="0.25">
      <c r="M183" s="34">
        <v>135595</v>
      </c>
      <c r="N183" s="2" t="s">
        <v>323</v>
      </c>
      <c r="O183" s="2" t="s">
        <v>183</v>
      </c>
      <c r="P183" s="2" t="str">
        <f t="shared" si="5"/>
        <v>135595-OTROS-SUBCUENTA</v>
      </c>
      <c r="Q183" t="s">
        <v>2047</v>
      </c>
      <c r="S183" t="s">
        <v>1780</v>
      </c>
    </row>
    <row r="184" spans="13:19" x14ac:dyDescent="0.25">
      <c r="M184" s="34">
        <v>1360</v>
      </c>
      <c r="N184" s="2" t="s">
        <v>447</v>
      </c>
      <c r="O184" s="2" t="s">
        <v>182</v>
      </c>
      <c r="P184" s="2" t="str">
        <f t="shared" si="5"/>
        <v>1360-RECLAMACIONES-CUENTA</v>
      </c>
      <c r="Q184" t="s">
        <v>2048</v>
      </c>
      <c r="S184" t="s">
        <v>1781</v>
      </c>
    </row>
    <row r="185" spans="13:19" x14ac:dyDescent="0.25">
      <c r="M185" s="34">
        <v>136005</v>
      </c>
      <c r="N185" s="2" t="s">
        <v>448</v>
      </c>
      <c r="O185" s="2" t="s">
        <v>183</v>
      </c>
      <c r="P185" s="2" t="str">
        <f t="shared" si="5"/>
        <v>136005-A COMPAÑIAS ASEGURADORAS-SUBCUENTA</v>
      </c>
      <c r="Q185" t="s">
        <v>2049</v>
      </c>
      <c r="S185" t="s">
        <v>1782</v>
      </c>
    </row>
    <row r="186" spans="13:19" x14ac:dyDescent="0.25">
      <c r="M186" s="34">
        <v>136010</v>
      </c>
      <c r="N186" s="2" t="s">
        <v>449</v>
      </c>
      <c r="O186" s="2" t="s">
        <v>183</v>
      </c>
      <c r="P186" s="2" t="str">
        <f t="shared" si="5"/>
        <v>136010-A TRANSPORTADORES-SUBCUENTA</v>
      </c>
      <c r="Q186" t="s">
        <v>2050</v>
      </c>
      <c r="S186" t="s">
        <v>1783</v>
      </c>
    </row>
    <row r="187" spans="13:19" x14ac:dyDescent="0.25">
      <c r="M187" s="34">
        <v>136015</v>
      </c>
      <c r="N187" s="2" t="s">
        <v>450</v>
      </c>
      <c r="O187" s="2" t="s">
        <v>183</v>
      </c>
      <c r="P187" s="2" t="str">
        <f t="shared" si="5"/>
        <v>136015-POR TIQUETES AEREOS-SUBCUENTA</v>
      </c>
      <c r="Q187" t="s">
        <v>2051</v>
      </c>
      <c r="S187" t="s">
        <v>1784</v>
      </c>
    </row>
    <row r="188" spans="13:19" x14ac:dyDescent="0.25">
      <c r="M188" s="34">
        <v>136095</v>
      </c>
      <c r="N188" s="2" t="s">
        <v>328</v>
      </c>
      <c r="O188" s="2" t="s">
        <v>183</v>
      </c>
      <c r="P188" s="2" t="str">
        <f t="shared" si="5"/>
        <v>136095-OTRAS-SUBCUENTA</v>
      </c>
      <c r="Q188" t="s">
        <v>2052</v>
      </c>
      <c r="S188" t="s">
        <v>1785</v>
      </c>
    </row>
    <row r="189" spans="13:19" x14ac:dyDescent="0.25">
      <c r="M189" s="34">
        <v>1365</v>
      </c>
      <c r="N189" s="2" t="s">
        <v>451</v>
      </c>
      <c r="O189" s="2" t="s">
        <v>182</v>
      </c>
      <c r="P189" s="2" t="str">
        <f t="shared" si="5"/>
        <v>1365-CUENTAS POR COBRAR A TRABAJADORES-CUENTA</v>
      </c>
      <c r="Q189" t="s">
        <v>2053</v>
      </c>
      <c r="S189" t="s">
        <v>1786</v>
      </c>
    </row>
    <row r="190" spans="13:19" x14ac:dyDescent="0.25">
      <c r="M190" s="34">
        <v>136505</v>
      </c>
      <c r="N190" s="2" t="s">
        <v>452</v>
      </c>
      <c r="O190" s="2" t="s">
        <v>183</v>
      </c>
      <c r="P190" s="2" t="str">
        <f t="shared" si="5"/>
        <v>136505-VIVIENDA-SUBCUENTA</v>
      </c>
      <c r="Q190" t="s">
        <v>2054</v>
      </c>
      <c r="S190" t="s">
        <v>1787</v>
      </c>
    </row>
    <row r="191" spans="13:19" x14ac:dyDescent="0.25">
      <c r="M191" s="34">
        <v>136510</v>
      </c>
      <c r="N191" s="2" t="s">
        <v>453</v>
      </c>
      <c r="O191" s="2" t="s">
        <v>183</v>
      </c>
      <c r="P191" s="2" t="str">
        <f t="shared" si="5"/>
        <v>136510-VEHICULOS-SUBCUENTA</v>
      </c>
      <c r="Q191" t="s">
        <v>2055</v>
      </c>
      <c r="S191" t="s">
        <v>1788</v>
      </c>
    </row>
    <row r="192" spans="13:19" x14ac:dyDescent="0.25">
      <c r="M192" s="34">
        <v>136515</v>
      </c>
      <c r="N192" s="2" t="s">
        <v>454</v>
      </c>
      <c r="O192" s="2" t="s">
        <v>183</v>
      </c>
      <c r="P192" s="2" t="str">
        <f t="shared" si="5"/>
        <v>136515-EDUCACION-SUBCUENTA</v>
      </c>
      <c r="Q192" t="s">
        <v>2056</v>
      </c>
      <c r="S192" t="s">
        <v>1789</v>
      </c>
    </row>
    <row r="193" spans="13:19" x14ac:dyDescent="0.25">
      <c r="M193" s="34">
        <v>136520</v>
      </c>
      <c r="N193" s="2" t="s">
        <v>455</v>
      </c>
      <c r="O193" s="2" t="s">
        <v>183</v>
      </c>
      <c r="P193" s="2" t="str">
        <f t="shared" si="5"/>
        <v>136520-MEDICOS, ODONTOLOGICOS Y SIMILARES-SUBCUENTA</v>
      </c>
      <c r="Q193" t="s">
        <v>2057</v>
      </c>
      <c r="S193" t="s">
        <v>1790</v>
      </c>
    </row>
    <row r="194" spans="13:19" x14ac:dyDescent="0.25">
      <c r="M194" s="34">
        <v>136525</v>
      </c>
      <c r="N194" s="2" t="s">
        <v>456</v>
      </c>
      <c r="O194" s="2" t="s">
        <v>183</v>
      </c>
      <c r="P194" s="2" t="str">
        <f t="shared" si="5"/>
        <v>136525-CALAMIDAD DOMESTICA-SUBCUENTA</v>
      </c>
      <c r="Q194" t="s">
        <v>2058</v>
      </c>
      <c r="S194" t="s">
        <v>1791</v>
      </c>
    </row>
    <row r="195" spans="13:19" x14ac:dyDescent="0.25">
      <c r="M195" s="34">
        <v>136530</v>
      </c>
      <c r="N195" s="2" t="s">
        <v>457</v>
      </c>
      <c r="O195" s="2" t="s">
        <v>183</v>
      </c>
      <c r="P195" s="2" t="str">
        <f t="shared" si="5"/>
        <v>136530-RESPONSABILIDADES-SUBCUENTA</v>
      </c>
      <c r="Q195" t="s">
        <v>2059</v>
      </c>
      <c r="S195" t="s">
        <v>1792</v>
      </c>
    </row>
    <row r="196" spans="13:19" x14ac:dyDescent="0.25">
      <c r="M196" s="34">
        <v>136595</v>
      </c>
      <c r="N196" s="2" t="s">
        <v>323</v>
      </c>
      <c r="O196" s="2" t="s">
        <v>183</v>
      </c>
      <c r="P196" s="2" t="str">
        <f t="shared" ref="P196:P259" si="6">IF(AND(M196&lt;&gt;"",N196&lt;&gt;"",O196&lt;&gt;""),M196&amp;"-"&amp;N196&amp;"-"&amp;O196,IF(AND(M196="",N196&lt;&gt;"",O196&lt;&gt;""),N196&amp;"-"&amp;O196,IF(AND(M196&lt;&gt;"",N196="",O196&lt;&gt;""),M196&amp;"-"&amp;O196,IF(AND(M196&lt;&gt;"",N196&lt;&gt;"",O196=""),M196&amp;"-"&amp;N196,IF(AND(M196&lt;&gt;"",N196="",O196=""),M196,"")))))</f>
        <v>136595-OTROS-SUBCUENTA</v>
      </c>
      <c r="Q196" t="s">
        <v>2060</v>
      </c>
      <c r="S196" t="s">
        <v>1793</v>
      </c>
    </row>
    <row r="197" spans="13:19" x14ac:dyDescent="0.25">
      <c r="M197" s="34">
        <v>1370</v>
      </c>
      <c r="N197" s="2" t="s">
        <v>458</v>
      </c>
      <c r="O197" s="2" t="s">
        <v>182</v>
      </c>
      <c r="P197" s="2" t="str">
        <f t="shared" si="6"/>
        <v>1370-PRESTAMOS A PARTICULARES-CUENTA</v>
      </c>
      <c r="Q197" t="s">
        <v>2061</v>
      </c>
      <c r="S197" t="s">
        <v>1794</v>
      </c>
    </row>
    <row r="198" spans="13:19" x14ac:dyDescent="0.25">
      <c r="M198" s="34">
        <v>137005</v>
      </c>
      <c r="N198" s="2" t="s">
        <v>459</v>
      </c>
      <c r="O198" s="2" t="s">
        <v>183</v>
      </c>
      <c r="P198" s="2" t="str">
        <f t="shared" si="6"/>
        <v>137005-CON GARANTIA REAL-SUBCUENTA</v>
      </c>
      <c r="Q198" t="s">
        <v>2062</v>
      </c>
      <c r="S198" t="s">
        <v>1795</v>
      </c>
    </row>
    <row r="199" spans="13:19" x14ac:dyDescent="0.25">
      <c r="M199" s="34">
        <v>137010</v>
      </c>
      <c r="N199" s="2" t="s">
        <v>460</v>
      </c>
      <c r="O199" s="2" t="s">
        <v>183</v>
      </c>
      <c r="P199" s="2" t="str">
        <f t="shared" si="6"/>
        <v>137010-CON GARANTIA PERSONAL-SUBCUENTA</v>
      </c>
      <c r="Q199" t="s">
        <v>2063</v>
      </c>
    </row>
    <row r="200" spans="13:19" x14ac:dyDescent="0.25">
      <c r="M200" s="34">
        <v>1380</v>
      </c>
      <c r="N200" s="2" t="s">
        <v>461</v>
      </c>
      <c r="O200" s="2" t="s">
        <v>182</v>
      </c>
      <c r="P200" s="2" t="str">
        <f t="shared" si="6"/>
        <v>1380-DEUDORES VARIOS-CUENTA</v>
      </c>
      <c r="Q200" t="s">
        <v>2064</v>
      </c>
    </row>
    <row r="201" spans="13:19" x14ac:dyDescent="0.25">
      <c r="M201" s="34">
        <v>138005</v>
      </c>
      <c r="N201" s="2" t="s">
        <v>462</v>
      </c>
      <c r="O201" s="2" t="s">
        <v>183</v>
      </c>
      <c r="P201" s="2" t="str">
        <f t="shared" si="6"/>
        <v>138005-DEPOSITARIOS-SUBCUENTA</v>
      </c>
      <c r="Q201" t="s">
        <v>2065</v>
      </c>
    </row>
    <row r="202" spans="13:19" x14ac:dyDescent="0.25">
      <c r="M202" s="34">
        <v>138010</v>
      </c>
      <c r="N202" s="2" t="s">
        <v>463</v>
      </c>
      <c r="O202" s="2" t="s">
        <v>183</v>
      </c>
      <c r="P202" s="2" t="str">
        <f t="shared" si="6"/>
        <v>138010-COMISIONISTAS DE BOLSAS-SUBCUENTA</v>
      </c>
      <c r="Q202" t="s">
        <v>2066</v>
      </c>
    </row>
    <row r="203" spans="13:19" x14ac:dyDescent="0.25">
      <c r="M203" s="34">
        <v>138015</v>
      </c>
      <c r="N203" s="2" t="s">
        <v>464</v>
      </c>
      <c r="O203" s="2" t="s">
        <v>183</v>
      </c>
      <c r="P203" s="2" t="str">
        <f t="shared" si="6"/>
        <v>138015-FONDO DE INVERSION-SUBCUENTA</v>
      </c>
      <c r="Q203" t="s">
        <v>2067</v>
      </c>
    </row>
    <row r="204" spans="13:19" x14ac:dyDescent="0.25">
      <c r="M204" s="34">
        <v>138020</v>
      </c>
      <c r="N204" s="2" t="s">
        <v>465</v>
      </c>
      <c r="O204" s="2" t="s">
        <v>183</v>
      </c>
      <c r="P204" s="2" t="str">
        <f t="shared" si="6"/>
        <v>138020-CUENTAS POR COBRAR DE TERCEROS-SUBCUENTA</v>
      </c>
      <c r="Q204" t="s">
        <v>2068</v>
      </c>
    </row>
    <row r="205" spans="13:19" x14ac:dyDescent="0.25">
      <c r="M205" s="34">
        <v>138025</v>
      </c>
      <c r="N205" s="2" t="s">
        <v>466</v>
      </c>
      <c r="O205" s="2" t="s">
        <v>183</v>
      </c>
      <c r="P205" s="2" t="str">
        <f t="shared" si="6"/>
        <v>138025-PAGOS POR CUENTA DE TERCEROS-SUBCUENTA</v>
      </c>
      <c r="Q205" t="s">
        <v>2069</v>
      </c>
    </row>
    <row r="206" spans="13:19" x14ac:dyDescent="0.25">
      <c r="M206" s="34">
        <v>138030</v>
      </c>
      <c r="N206" s="2" t="s">
        <v>467</v>
      </c>
      <c r="O206" s="2" t="s">
        <v>183</v>
      </c>
      <c r="P206" s="2" t="str">
        <f t="shared" si="6"/>
        <v>138030-FONDOS DE INVERSION SOCIAL-SUBCUENTA</v>
      </c>
      <c r="Q206" t="s">
        <v>2070</v>
      </c>
    </row>
    <row r="207" spans="13:19" x14ac:dyDescent="0.25">
      <c r="M207" s="34">
        <v>138095</v>
      </c>
      <c r="N207" s="2" t="s">
        <v>323</v>
      </c>
      <c r="O207" s="2" t="s">
        <v>183</v>
      </c>
      <c r="P207" s="2" t="str">
        <f t="shared" si="6"/>
        <v>138095-OTROS-SUBCUENTA</v>
      </c>
      <c r="Q207" t="s">
        <v>2071</v>
      </c>
    </row>
    <row r="208" spans="13:19" x14ac:dyDescent="0.25">
      <c r="M208" s="34">
        <v>1385</v>
      </c>
      <c r="N208" s="2" t="s">
        <v>468</v>
      </c>
      <c r="O208" s="2" t="s">
        <v>182</v>
      </c>
      <c r="P208" s="2" t="str">
        <f t="shared" si="6"/>
        <v>1385-DERECHOS DE RECOMPRA DE CARTERA NEGOCIADA-CUENTA</v>
      </c>
      <c r="Q208" t="s">
        <v>2072</v>
      </c>
    </row>
    <row r="209" spans="13:17" x14ac:dyDescent="0.25">
      <c r="M209" s="34" t="s">
        <v>191</v>
      </c>
      <c r="N209" s="2" t="s">
        <v>188</v>
      </c>
      <c r="O209" s="2" t="s">
        <v>188</v>
      </c>
      <c r="P209" s="2" t="str">
        <f t="shared" si="6"/>
        <v xml:space="preserve">138501 a 138598 </v>
      </c>
      <c r="Q209" t="s">
        <v>2073</v>
      </c>
    </row>
    <row r="210" spans="13:17" x14ac:dyDescent="0.25">
      <c r="M210" s="34">
        <v>1390</v>
      </c>
      <c r="N210" s="2" t="s">
        <v>469</v>
      </c>
      <c r="O210" s="2" t="s">
        <v>182</v>
      </c>
      <c r="P210" s="2" t="str">
        <f t="shared" si="6"/>
        <v>1390-DEUDAS DE DIFICIL COBRO-CUENTA</v>
      </c>
      <c r="Q210" t="s">
        <v>2074</v>
      </c>
    </row>
    <row r="211" spans="13:17" x14ac:dyDescent="0.25">
      <c r="M211" s="34" t="s">
        <v>192</v>
      </c>
      <c r="N211" s="2" t="s">
        <v>188</v>
      </c>
      <c r="O211" s="2" t="s">
        <v>188</v>
      </c>
      <c r="P211" s="2" t="str">
        <f t="shared" si="6"/>
        <v xml:space="preserve">139001 a 139098 </v>
      </c>
      <c r="Q211" t="s">
        <v>2075</v>
      </c>
    </row>
    <row r="212" spans="13:17" x14ac:dyDescent="0.25">
      <c r="M212" s="34">
        <v>1399</v>
      </c>
      <c r="N212" s="2" t="s">
        <v>379</v>
      </c>
      <c r="O212" s="2" t="s">
        <v>182</v>
      </c>
      <c r="P212" s="2" t="str">
        <f t="shared" si="6"/>
        <v>1399-PROVISIONES-CUENTA</v>
      </c>
      <c r="Q212" t="s">
        <v>2076</v>
      </c>
    </row>
    <row r="213" spans="13:17" x14ac:dyDescent="0.25">
      <c r="M213" s="34">
        <v>139905</v>
      </c>
      <c r="N213" s="2" t="s">
        <v>382</v>
      </c>
      <c r="O213" s="2" t="s">
        <v>183</v>
      </c>
      <c r="P213" s="2" t="str">
        <f t="shared" si="6"/>
        <v>139905-CLIENTES-SUBCUENTA</v>
      </c>
      <c r="Q213" t="s">
        <v>1571</v>
      </c>
    </row>
    <row r="214" spans="13:17" x14ac:dyDescent="0.25">
      <c r="M214" s="34">
        <v>139910</v>
      </c>
      <c r="N214" s="2" t="s">
        <v>386</v>
      </c>
      <c r="O214" s="2" t="s">
        <v>183</v>
      </c>
      <c r="P214" s="2" t="str">
        <f t="shared" si="6"/>
        <v>139910-CUENTAS CORRIENTES COMERCIALES-SUBCUENTA</v>
      </c>
      <c r="Q214" t="s">
        <v>2077</v>
      </c>
    </row>
    <row r="215" spans="13:17" x14ac:dyDescent="0.25">
      <c r="M215" s="34">
        <v>139915</v>
      </c>
      <c r="N215" s="2" t="s">
        <v>391</v>
      </c>
      <c r="O215" s="2" t="s">
        <v>183</v>
      </c>
      <c r="P215" s="2" t="str">
        <f t="shared" si="6"/>
        <v>139915-CUENTAS POR COBRAR A CASA MATRIZ-SUBCUENTA</v>
      </c>
      <c r="Q215" t="s">
        <v>2078</v>
      </c>
    </row>
    <row r="216" spans="13:17" x14ac:dyDescent="0.25">
      <c r="M216" s="34">
        <v>139920</v>
      </c>
      <c r="N216" s="2" t="s">
        <v>396</v>
      </c>
      <c r="O216" s="2" t="s">
        <v>183</v>
      </c>
      <c r="P216" s="2" t="str">
        <f t="shared" si="6"/>
        <v>139920-CUENTAS POR COBRAR A VINCULADOS ECONOMICOS-SUBCUENTA</v>
      </c>
      <c r="Q216" t="s">
        <v>2079</v>
      </c>
    </row>
    <row r="217" spans="13:17" x14ac:dyDescent="0.25">
      <c r="M217" s="34">
        <v>139925</v>
      </c>
      <c r="N217" s="2" t="s">
        <v>470</v>
      </c>
      <c r="O217" s="2" t="s">
        <v>183</v>
      </c>
      <c r="P217" s="2" t="str">
        <f t="shared" si="6"/>
        <v>139925-CUENTAS POR COBRAR A SOCIOS Y ACCIONISTAS-SUBCUENTA</v>
      </c>
      <c r="Q217" t="s">
        <v>2080</v>
      </c>
    </row>
    <row r="218" spans="13:17" x14ac:dyDescent="0.25">
      <c r="M218" s="34">
        <v>139930</v>
      </c>
      <c r="N218" s="2" t="s">
        <v>404</v>
      </c>
      <c r="O218" s="2" t="s">
        <v>183</v>
      </c>
      <c r="P218" s="2" t="str">
        <f t="shared" si="6"/>
        <v>139930-ANTICIPOS Y AVANCES-SUBCUENTA</v>
      </c>
      <c r="Q218" t="s">
        <v>2081</v>
      </c>
    </row>
    <row r="219" spans="13:17" x14ac:dyDescent="0.25">
      <c r="M219" s="34">
        <v>139932</v>
      </c>
      <c r="N219" s="2" t="s">
        <v>411</v>
      </c>
      <c r="O219" s="2" t="s">
        <v>183</v>
      </c>
      <c r="P219" s="2" t="str">
        <f t="shared" si="6"/>
        <v>139932-CUENTAS DE OPERACION CONJUNTA-SUBCUENTA</v>
      </c>
      <c r="Q219" t="s">
        <v>2082</v>
      </c>
    </row>
    <row r="220" spans="13:17" x14ac:dyDescent="0.25">
      <c r="M220" s="34">
        <v>139935</v>
      </c>
      <c r="N220" s="2" t="s">
        <v>412</v>
      </c>
      <c r="O220" s="2" t="s">
        <v>183</v>
      </c>
      <c r="P220" s="2" t="str">
        <f t="shared" si="6"/>
        <v>139935-DEPOSITOS-SUBCUENTA</v>
      </c>
      <c r="Q220" t="s">
        <v>2083</v>
      </c>
    </row>
    <row r="221" spans="13:17" x14ac:dyDescent="0.25">
      <c r="M221" s="34">
        <v>139940</v>
      </c>
      <c r="N221" s="2" t="s">
        <v>471</v>
      </c>
      <c r="O221" s="2" t="s">
        <v>183</v>
      </c>
      <c r="P221" s="2" t="str">
        <f t="shared" si="6"/>
        <v>139940-PROMESAS DE COMPRAVENTA-SUBCUENTA</v>
      </c>
      <c r="Q221" t="s">
        <v>2084</v>
      </c>
    </row>
    <row r="222" spans="13:17" x14ac:dyDescent="0.25">
      <c r="M222" s="34">
        <v>139945</v>
      </c>
      <c r="N222" s="2" t="s">
        <v>429</v>
      </c>
      <c r="O222" s="2" t="s">
        <v>183</v>
      </c>
      <c r="P222" s="2" t="str">
        <f t="shared" si="6"/>
        <v>139945-INGRESOS POR COBRAR-SUBCUENTA</v>
      </c>
      <c r="Q222" t="s">
        <v>2085</v>
      </c>
    </row>
    <row r="223" spans="13:17" x14ac:dyDescent="0.25">
      <c r="M223" s="34">
        <v>139950</v>
      </c>
      <c r="N223" s="2" t="s">
        <v>437</v>
      </c>
      <c r="O223" s="2" t="s">
        <v>183</v>
      </c>
      <c r="P223" s="2" t="str">
        <f t="shared" si="6"/>
        <v>139950-RETENCION SOBRE CONTRATOS-SUBCUENTA</v>
      </c>
      <c r="Q223" t="s">
        <v>2086</v>
      </c>
    </row>
    <row r="224" spans="13:17" x14ac:dyDescent="0.25">
      <c r="M224" s="34">
        <v>139955</v>
      </c>
      <c r="N224" s="2" t="s">
        <v>447</v>
      </c>
      <c r="O224" s="2" t="s">
        <v>183</v>
      </c>
      <c r="P224" s="2" t="str">
        <f t="shared" si="6"/>
        <v>139955-RECLAMACIONES-SUBCUENTA</v>
      </c>
      <c r="Q224" t="s">
        <v>2087</v>
      </c>
    </row>
    <row r="225" spans="13:17" x14ac:dyDescent="0.25">
      <c r="M225" s="34">
        <v>139960</v>
      </c>
      <c r="N225" s="2" t="s">
        <v>451</v>
      </c>
      <c r="O225" s="2" t="s">
        <v>183</v>
      </c>
      <c r="P225" s="2" t="str">
        <f t="shared" si="6"/>
        <v>139960-CUENTAS POR COBRAR A TRABAJADORES-SUBCUENTA</v>
      </c>
      <c r="Q225" t="s">
        <v>2088</v>
      </c>
    </row>
    <row r="226" spans="13:17" x14ac:dyDescent="0.25">
      <c r="M226" s="34">
        <v>139965</v>
      </c>
      <c r="N226" s="2" t="s">
        <v>458</v>
      </c>
      <c r="O226" s="2" t="s">
        <v>183</v>
      </c>
      <c r="P226" s="2" t="str">
        <f t="shared" si="6"/>
        <v>139965-PRESTAMOS A PARTICULARES-SUBCUENTA</v>
      </c>
      <c r="Q226" t="s">
        <v>2089</v>
      </c>
    </row>
    <row r="227" spans="13:17" x14ac:dyDescent="0.25">
      <c r="M227" s="34">
        <v>139975</v>
      </c>
      <c r="N227" s="2" t="s">
        <v>461</v>
      </c>
      <c r="O227" s="2" t="s">
        <v>183</v>
      </c>
      <c r="P227" s="2" t="str">
        <f t="shared" si="6"/>
        <v>139975-DEUDORES VARIOS-SUBCUENTA</v>
      </c>
      <c r="Q227" t="s">
        <v>2090</v>
      </c>
    </row>
    <row r="228" spans="13:17" x14ac:dyDescent="0.25">
      <c r="M228" s="34">
        <v>139980</v>
      </c>
      <c r="N228" s="2" t="s">
        <v>468</v>
      </c>
      <c r="O228" s="2" t="s">
        <v>183</v>
      </c>
      <c r="P228" s="2" t="str">
        <f t="shared" si="6"/>
        <v>139980-DERECHOS DE RECOMPRA DE CARTERA NEGOCIADA-SUBCUENTA</v>
      </c>
      <c r="Q228" t="s">
        <v>63</v>
      </c>
    </row>
    <row r="229" spans="13:17" x14ac:dyDescent="0.25">
      <c r="M229" s="34">
        <v>14</v>
      </c>
      <c r="N229" s="2" t="s">
        <v>472</v>
      </c>
      <c r="O229" s="2" t="s">
        <v>181</v>
      </c>
      <c r="P229" s="2" t="str">
        <f t="shared" si="6"/>
        <v>14-INVENTARIOS-GRUPO</v>
      </c>
      <c r="Q229" t="s">
        <v>2091</v>
      </c>
    </row>
    <row r="230" spans="13:17" x14ac:dyDescent="0.25">
      <c r="M230" s="34">
        <v>1405</v>
      </c>
      <c r="N230" s="2" t="s">
        <v>473</v>
      </c>
      <c r="O230" s="2" t="s">
        <v>182</v>
      </c>
      <c r="P230" s="2" t="str">
        <f t="shared" si="6"/>
        <v>1405-MATERIAS PRIMAS-CUENTA</v>
      </c>
      <c r="Q230" t="s">
        <v>2092</v>
      </c>
    </row>
    <row r="231" spans="13:17" x14ac:dyDescent="0.25">
      <c r="M231" s="34" t="s">
        <v>193</v>
      </c>
      <c r="N231" s="2" t="s">
        <v>188</v>
      </c>
      <c r="O231" s="2" t="s">
        <v>188</v>
      </c>
      <c r="P231" s="2" t="str">
        <f t="shared" si="6"/>
        <v xml:space="preserve">140501 a 140598 </v>
      </c>
      <c r="Q231" t="s">
        <v>2093</v>
      </c>
    </row>
    <row r="232" spans="13:17" x14ac:dyDescent="0.25">
      <c r="M232" s="34">
        <v>140599</v>
      </c>
      <c r="N232" s="2" t="s">
        <v>367</v>
      </c>
      <c r="O232" s="2" t="s">
        <v>183</v>
      </c>
      <c r="P232" s="2" t="str">
        <f t="shared" si="6"/>
        <v>140599-AJUSTES POR INFLACION-SUBCUENTA</v>
      </c>
      <c r="Q232" t="s">
        <v>2094</v>
      </c>
    </row>
    <row r="233" spans="13:17" x14ac:dyDescent="0.25">
      <c r="M233" s="34">
        <v>1410</v>
      </c>
      <c r="N233" s="2" t="s">
        <v>474</v>
      </c>
      <c r="O233" s="2" t="s">
        <v>182</v>
      </c>
      <c r="P233" s="2" t="str">
        <f t="shared" si="6"/>
        <v>1410-PRODUCTOS EN PROCESO-CUENTA</v>
      </c>
      <c r="Q233" t="s">
        <v>2095</v>
      </c>
    </row>
    <row r="234" spans="13:17" x14ac:dyDescent="0.25">
      <c r="M234" s="34" t="s">
        <v>194</v>
      </c>
      <c r="N234" s="2" t="s">
        <v>188</v>
      </c>
      <c r="O234" s="2" t="s">
        <v>188</v>
      </c>
      <c r="P234" s="2" t="str">
        <f t="shared" si="6"/>
        <v xml:space="preserve">141001 a 141098 </v>
      </c>
      <c r="Q234" t="s">
        <v>2096</v>
      </c>
    </row>
    <row r="235" spans="13:17" x14ac:dyDescent="0.25">
      <c r="M235" s="34">
        <v>141099</v>
      </c>
      <c r="N235" s="2" t="s">
        <v>367</v>
      </c>
      <c r="O235" s="2" t="s">
        <v>183</v>
      </c>
      <c r="P235" s="2" t="str">
        <f t="shared" si="6"/>
        <v>141099-AJUSTES POR INFLACION-SUBCUENTA</v>
      </c>
      <c r="Q235" t="s">
        <v>2097</v>
      </c>
    </row>
    <row r="236" spans="13:17" x14ac:dyDescent="0.25">
      <c r="M236" s="34">
        <v>1415</v>
      </c>
      <c r="N236" s="2" t="s">
        <v>475</v>
      </c>
      <c r="O236" s="2" t="s">
        <v>182</v>
      </c>
      <c r="P236" s="2" t="str">
        <f t="shared" si="6"/>
        <v>1415-OBRAS DE CONSTRUCCION EN CURSO-CUENTA</v>
      </c>
      <c r="Q236" t="s">
        <v>2098</v>
      </c>
    </row>
    <row r="237" spans="13:17" x14ac:dyDescent="0.25">
      <c r="M237" s="34" t="s">
        <v>195</v>
      </c>
      <c r="N237" s="2" t="s">
        <v>188</v>
      </c>
      <c r="O237" s="2" t="s">
        <v>188</v>
      </c>
      <c r="P237" s="2" t="str">
        <f t="shared" si="6"/>
        <v xml:space="preserve">141501 a 141598 </v>
      </c>
      <c r="Q237" t="s">
        <v>2099</v>
      </c>
    </row>
    <row r="238" spans="13:17" x14ac:dyDescent="0.25">
      <c r="M238" s="34">
        <v>141599</v>
      </c>
      <c r="N238" s="2" t="s">
        <v>367</v>
      </c>
      <c r="O238" s="2" t="s">
        <v>183</v>
      </c>
      <c r="P238" s="2" t="str">
        <f t="shared" si="6"/>
        <v>141599-AJUSTES POR INFLACION-SUBCUENTA</v>
      </c>
      <c r="Q238" t="s">
        <v>2100</v>
      </c>
    </row>
    <row r="239" spans="13:17" x14ac:dyDescent="0.25">
      <c r="M239" s="34">
        <v>1417</v>
      </c>
      <c r="N239" s="2" t="s">
        <v>476</v>
      </c>
      <c r="O239" s="2" t="s">
        <v>182</v>
      </c>
      <c r="P239" s="2" t="str">
        <f t="shared" si="6"/>
        <v>1417-OBRAS DE URBANISMO-CUENTA</v>
      </c>
      <c r="Q239" t="s">
        <v>2101</v>
      </c>
    </row>
    <row r="240" spans="13:17" x14ac:dyDescent="0.25">
      <c r="M240" s="34" t="s">
        <v>196</v>
      </c>
      <c r="N240" s="2" t="s">
        <v>188</v>
      </c>
      <c r="O240" s="2" t="s">
        <v>188</v>
      </c>
      <c r="P240" s="2" t="str">
        <f t="shared" si="6"/>
        <v xml:space="preserve">141701 a 141798 </v>
      </c>
      <c r="Q240" t="s">
        <v>2102</v>
      </c>
    </row>
    <row r="241" spans="13:17" x14ac:dyDescent="0.25">
      <c r="M241" s="34">
        <v>141799</v>
      </c>
      <c r="N241" s="2" t="s">
        <v>367</v>
      </c>
      <c r="O241" s="2" t="s">
        <v>183</v>
      </c>
      <c r="P241" s="2" t="str">
        <f t="shared" si="6"/>
        <v>141799-AJUSTES POR INFLACION-SUBCUENTA</v>
      </c>
      <c r="Q241" t="s">
        <v>2103</v>
      </c>
    </row>
    <row r="242" spans="13:17" x14ac:dyDescent="0.25">
      <c r="M242" s="34">
        <v>1420</v>
      </c>
      <c r="N242" s="2" t="s">
        <v>477</v>
      </c>
      <c r="O242" s="2" t="s">
        <v>182</v>
      </c>
      <c r="P242" s="2" t="str">
        <f t="shared" si="6"/>
        <v>1420-CONTRATOS EN EJECUCION-CUENTA</v>
      </c>
      <c r="Q242" t="s">
        <v>2104</v>
      </c>
    </row>
    <row r="243" spans="13:17" x14ac:dyDescent="0.25">
      <c r="M243" s="34" t="s">
        <v>197</v>
      </c>
      <c r="N243" s="2" t="s">
        <v>188</v>
      </c>
      <c r="O243" s="2" t="s">
        <v>188</v>
      </c>
      <c r="P243" s="2" t="str">
        <f t="shared" si="6"/>
        <v xml:space="preserve">142001 a 142098 </v>
      </c>
      <c r="Q243" t="s">
        <v>2105</v>
      </c>
    </row>
    <row r="244" spans="13:17" x14ac:dyDescent="0.25">
      <c r="M244" s="34">
        <v>142099</v>
      </c>
      <c r="N244" s="2" t="s">
        <v>367</v>
      </c>
      <c r="O244" s="2" t="s">
        <v>183</v>
      </c>
      <c r="P244" s="2" t="str">
        <f t="shared" si="6"/>
        <v>142099-AJUSTES POR INFLACION-SUBCUENTA</v>
      </c>
      <c r="Q244" t="s">
        <v>2106</v>
      </c>
    </row>
    <row r="245" spans="13:17" x14ac:dyDescent="0.25">
      <c r="M245" s="34">
        <v>1425</v>
      </c>
      <c r="N245" s="2" t="s">
        <v>478</v>
      </c>
      <c r="O245" s="2" t="s">
        <v>182</v>
      </c>
      <c r="P245" s="2" t="str">
        <f t="shared" si="6"/>
        <v>1425-CULTIVOS EN DESARROLLO-CUENTA</v>
      </c>
      <c r="Q245" t="s">
        <v>2107</v>
      </c>
    </row>
    <row r="246" spans="13:17" x14ac:dyDescent="0.25">
      <c r="M246" s="34" t="s">
        <v>198</v>
      </c>
      <c r="N246" s="2" t="s">
        <v>188</v>
      </c>
      <c r="O246" s="2" t="s">
        <v>188</v>
      </c>
      <c r="P246" s="2" t="str">
        <f t="shared" si="6"/>
        <v xml:space="preserve">142501 a 142598 </v>
      </c>
      <c r="Q246" t="s">
        <v>2108</v>
      </c>
    </row>
    <row r="247" spans="13:17" x14ac:dyDescent="0.25">
      <c r="M247" s="34">
        <v>142599</v>
      </c>
      <c r="N247" s="2" t="s">
        <v>367</v>
      </c>
      <c r="O247" s="2" t="s">
        <v>183</v>
      </c>
      <c r="P247" s="2" t="str">
        <f t="shared" si="6"/>
        <v>142599-AJUSTES POR INFLACION-SUBCUENTA</v>
      </c>
      <c r="Q247" t="s">
        <v>2109</v>
      </c>
    </row>
    <row r="248" spans="13:17" x14ac:dyDescent="0.25">
      <c r="M248" s="34">
        <v>1430</v>
      </c>
      <c r="N248" s="2" t="s">
        <v>479</v>
      </c>
      <c r="O248" s="2" t="s">
        <v>182</v>
      </c>
      <c r="P248" s="2" t="str">
        <f t="shared" si="6"/>
        <v>1430-PRODUCTOS TERMINADOS-CUENTA</v>
      </c>
      <c r="Q248" t="s">
        <v>2110</v>
      </c>
    </row>
    <row r="249" spans="13:17" x14ac:dyDescent="0.25">
      <c r="M249" s="34">
        <v>143005</v>
      </c>
      <c r="N249" s="2" t="s">
        <v>480</v>
      </c>
      <c r="O249" s="2" t="s">
        <v>183</v>
      </c>
      <c r="P249" s="2" t="str">
        <f t="shared" si="6"/>
        <v>143005-PRODUCTOS MANUFACTURADOS-SUBCUENTA</v>
      </c>
      <c r="Q249" t="s">
        <v>2111</v>
      </c>
    </row>
    <row r="250" spans="13:17" x14ac:dyDescent="0.25">
      <c r="M250" s="34">
        <v>143010</v>
      </c>
      <c r="N250" s="2" t="s">
        <v>481</v>
      </c>
      <c r="O250" s="2" t="s">
        <v>183</v>
      </c>
      <c r="P250" s="2" t="str">
        <f t="shared" si="6"/>
        <v>143010-PRODUCTOS EXTRAIDOS Y/O PROCESADOS-SUBCUENTA</v>
      </c>
      <c r="Q250" t="s">
        <v>168</v>
      </c>
    </row>
    <row r="251" spans="13:17" x14ac:dyDescent="0.25">
      <c r="M251" s="34">
        <v>143015</v>
      </c>
      <c r="N251" s="2" t="s">
        <v>482</v>
      </c>
      <c r="O251" s="2" t="s">
        <v>183</v>
      </c>
      <c r="P251" s="2" t="str">
        <f t="shared" si="6"/>
        <v>143015-PRODUCTOS AGRICOLAS Y FORESTALES-SUBCUENTA</v>
      </c>
      <c r="Q251" t="s">
        <v>2112</v>
      </c>
    </row>
    <row r="252" spans="13:17" x14ac:dyDescent="0.25">
      <c r="M252" s="34">
        <v>143020</v>
      </c>
      <c r="N252" s="2" t="s">
        <v>483</v>
      </c>
      <c r="O252" s="2" t="s">
        <v>183</v>
      </c>
      <c r="P252" s="2" t="str">
        <f t="shared" si="6"/>
        <v>143020-SUBPRODUCTOS-SUBCUENTA</v>
      </c>
      <c r="Q252" t="s">
        <v>2113</v>
      </c>
    </row>
    <row r="253" spans="13:17" x14ac:dyDescent="0.25">
      <c r="M253" s="34">
        <v>143025</v>
      </c>
      <c r="N253" s="2" t="s">
        <v>484</v>
      </c>
      <c r="O253" s="2" t="s">
        <v>183</v>
      </c>
      <c r="P253" s="2" t="str">
        <f t="shared" si="6"/>
        <v>143025-PRODUCTOS DE PESCA-SUBCUENTA</v>
      </c>
      <c r="Q253" t="s">
        <v>2114</v>
      </c>
    </row>
    <row r="254" spans="13:17" x14ac:dyDescent="0.25">
      <c r="M254" s="34">
        <v>143099</v>
      </c>
      <c r="N254" s="2" t="s">
        <v>367</v>
      </c>
      <c r="O254" s="2" t="s">
        <v>183</v>
      </c>
      <c r="P254" s="2" t="str">
        <f t="shared" si="6"/>
        <v>143099-AJUSTES POR INFLACION-SUBCUENTA</v>
      </c>
      <c r="Q254" t="s">
        <v>2115</v>
      </c>
    </row>
    <row r="255" spans="13:17" x14ac:dyDescent="0.25">
      <c r="M255" s="34">
        <v>1435</v>
      </c>
      <c r="N255" s="2" t="s">
        <v>485</v>
      </c>
      <c r="O255" s="2" t="s">
        <v>182</v>
      </c>
      <c r="P255" s="2" t="str">
        <f t="shared" si="6"/>
        <v>1435-MERCANCIAS NO FABRICADAS POR LA EMPRESA-CUENTA</v>
      </c>
      <c r="Q255" t="s">
        <v>2116</v>
      </c>
    </row>
    <row r="256" spans="13:17" x14ac:dyDescent="0.25">
      <c r="M256" s="34" t="s">
        <v>199</v>
      </c>
      <c r="N256" s="2" t="s">
        <v>188</v>
      </c>
      <c r="O256" s="2" t="s">
        <v>188</v>
      </c>
      <c r="P256" s="2" t="str">
        <f t="shared" si="6"/>
        <v xml:space="preserve">143501 a 143598 </v>
      </c>
      <c r="Q256" t="s">
        <v>2117</v>
      </c>
    </row>
    <row r="257" spans="13:17" x14ac:dyDescent="0.25">
      <c r="M257" s="34">
        <v>143599</v>
      </c>
      <c r="N257" s="2" t="s">
        <v>367</v>
      </c>
      <c r="O257" s="2" t="s">
        <v>183</v>
      </c>
      <c r="P257" s="2" t="str">
        <f t="shared" si="6"/>
        <v>143599-AJUSTES POR INFLACION-SUBCUENTA</v>
      </c>
      <c r="Q257" t="s">
        <v>2118</v>
      </c>
    </row>
    <row r="258" spans="13:17" x14ac:dyDescent="0.25">
      <c r="M258" s="34">
        <v>1440</v>
      </c>
      <c r="N258" s="2" t="s">
        <v>486</v>
      </c>
      <c r="O258" s="2" t="s">
        <v>182</v>
      </c>
      <c r="P258" s="2" t="str">
        <f t="shared" si="6"/>
        <v>1440-BIENES RAICES PARA LA VENTA-CUENTA</v>
      </c>
      <c r="Q258" t="s">
        <v>2119</v>
      </c>
    </row>
    <row r="259" spans="13:17" x14ac:dyDescent="0.25">
      <c r="M259" s="34" t="s">
        <v>200</v>
      </c>
      <c r="N259" s="2" t="s">
        <v>188</v>
      </c>
      <c r="O259" s="2" t="s">
        <v>188</v>
      </c>
      <c r="P259" s="2" t="str">
        <f t="shared" si="6"/>
        <v xml:space="preserve">144001 a 144098 </v>
      </c>
      <c r="Q259" t="s">
        <v>2120</v>
      </c>
    </row>
    <row r="260" spans="13:17" x14ac:dyDescent="0.25">
      <c r="M260" s="34">
        <v>144099</v>
      </c>
      <c r="N260" s="2" t="s">
        <v>367</v>
      </c>
      <c r="O260" s="2" t="s">
        <v>183</v>
      </c>
      <c r="P260" s="2" t="str">
        <f t="shared" ref="P260:P323" si="7">IF(AND(M260&lt;&gt;"",N260&lt;&gt;"",O260&lt;&gt;""),M260&amp;"-"&amp;N260&amp;"-"&amp;O260,IF(AND(M260="",N260&lt;&gt;"",O260&lt;&gt;""),N260&amp;"-"&amp;O260,IF(AND(M260&lt;&gt;"",N260="",O260&lt;&gt;""),M260&amp;"-"&amp;O260,IF(AND(M260&lt;&gt;"",N260&lt;&gt;"",O260=""),M260&amp;"-"&amp;N260,IF(AND(M260&lt;&gt;"",N260="",O260=""),M260,"")))))</f>
        <v>144099-AJUSTES POR INFLACION-SUBCUENTA</v>
      </c>
      <c r="Q260" t="s">
        <v>2121</v>
      </c>
    </row>
    <row r="261" spans="13:17" x14ac:dyDescent="0.25">
      <c r="M261" s="34">
        <v>1445</v>
      </c>
      <c r="N261" s="2" t="s">
        <v>487</v>
      </c>
      <c r="O261" s="2" t="s">
        <v>182</v>
      </c>
      <c r="P261" s="2" t="str">
        <f t="shared" si="7"/>
        <v>1445-SEMOVIENTES-CUENTA</v>
      </c>
      <c r="Q261" t="s">
        <v>2122</v>
      </c>
    </row>
    <row r="262" spans="13:17" x14ac:dyDescent="0.25">
      <c r="M262" s="34">
        <v>144505</v>
      </c>
      <c r="N262" s="2" t="s">
        <v>488</v>
      </c>
      <c r="O262" s="2" t="s">
        <v>183</v>
      </c>
      <c r="P262" s="2" t="str">
        <f t="shared" si="7"/>
        <v>144505-ESPECIES MAYORES-SUBCUENTA</v>
      </c>
      <c r="Q262" t="s">
        <v>2123</v>
      </c>
    </row>
    <row r="263" spans="13:17" x14ac:dyDescent="0.25">
      <c r="M263" s="34">
        <v>144510</v>
      </c>
      <c r="N263" s="2" t="s">
        <v>489</v>
      </c>
      <c r="O263" s="2" t="s">
        <v>183</v>
      </c>
      <c r="P263" s="2" t="str">
        <f t="shared" si="7"/>
        <v>144510-ESPECIES MENORES-SUBCUENTA</v>
      </c>
      <c r="Q263" t="s">
        <v>2124</v>
      </c>
    </row>
    <row r="264" spans="13:17" x14ac:dyDescent="0.25">
      <c r="M264" s="34">
        <v>144599</v>
      </c>
      <c r="N264" s="2" t="s">
        <v>367</v>
      </c>
      <c r="O264" s="2" t="s">
        <v>183</v>
      </c>
      <c r="P264" s="2" t="str">
        <f t="shared" si="7"/>
        <v>144599-AJUSTES POR INFLACION-SUBCUENTA</v>
      </c>
      <c r="Q264" t="s">
        <v>2125</v>
      </c>
    </row>
    <row r="265" spans="13:17" x14ac:dyDescent="0.25">
      <c r="M265" s="34">
        <v>1450</v>
      </c>
      <c r="N265" s="2" t="s">
        <v>490</v>
      </c>
      <c r="O265" s="2" t="s">
        <v>182</v>
      </c>
      <c r="P265" s="2" t="str">
        <f t="shared" si="7"/>
        <v>1450-TERRENOS-CUENTA</v>
      </c>
      <c r="Q265" t="s">
        <v>2126</v>
      </c>
    </row>
    <row r="266" spans="13:17" x14ac:dyDescent="0.25">
      <c r="M266" s="34">
        <v>145005</v>
      </c>
      <c r="N266" s="2" t="s">
        <v>491</v>
      </c>
      <c r="O266" s="2" t="s">
        <v>183</v>
      </c>
      <c r="P266" s="2" t="str">
        <f t="shared" si="7"/>
        <v>145005-POR URBANIZAR-SUBCUENTA</v>
      </c>
      <c r="Q266" t="s">
        <v>2127</v>
      </c>
    </row>
    <row r="267" spans="13:17" x14ac:dyDescent="0.25">
      <c r="M267" s="34">
        <v>145010</v>
      </c>
      <c r="N267" s="2" t="s">
        <v>492</v>
      </c>
      <c r="O267" s="2" t="s">
        <v>183</v>
      </c>
      <c r="P267" s="2" t="str">
        <f t="shared" si="7"/>
        <v>145010-URBANIZADOS POR CONSTRUIR-SUBCUENTA</v>
      </c>
      <c r="Q267" t="s">
        <v>2128</v>
      </c>
    </row>
    <row r="268" spans="13:17" x14ac:dyDescent="0.25">
      <c r="M268" s="34">
        <v>145099</v>
      </c>
      <c r="N268" s="2" t="s">
        <v>367</v>
      </c>
      <c r="O268" s="2" t="s">
        <v>183</v>
      </c>
      <c r="P268" s="2" t="str">
        <f t="shared" si="7"/>
        <v>145099-AJUSTES POR INFLACION-SUBCUENTA</v>
      </c>
      <c r="Q268" t="s">
        <v>2129</v>
      </c>
    </row>
    <row r="269" spans="13:17" x14ac:dyDescent="0.25">
      <c r="M269" s="34">
        <v>1455</v>
      </c>
      <c r="N269" s="2" t="s">
        <v>493</v>
      </c>
      <c r="O269" s="2" t="s">
        <v>182</v>
      </c>
      <c r="P269" s="2" t="str">
        <f t="shared" si="7"/>
        <v>1455-MATERIALES, REPUESTOS Y ACCESORIOS-CUENTA</v>
      </c>
      <c r="Q269" t="s">
        <v>2130</v>
      </c>
    </row>
    <row r="270" spans="13:17" x14ac:dyDescent="0.25">
      <c r="M270" s="34">
        <v>145505</v>
      </c>
      <c r="N270" s="2" t="s">
        <v>494</v>
      </c>
      <c r="O270" s="2" t="s">
        <v>183</v>
      </c>
      <c r="P270" s="2" t="str">
        <f t="shared" si="7"/>
        <v>145505-COMBUSTIBLES Y LUBRICANTES-SUBCUENTA</v>
      </c>
      <c r="Q270" t="s">
        <v>2131</v>
      </c>
    </row>
    <row r="271" spans="13:17" x14ac:dyDescent="0.25">
      <c r="M271" s="34">
        <v>145510</v>
      </c>
      <c r="N271" s="2" t="s">
        <v>495</v>
      </c>
      <c r="O271" s="2" t="s">
        <v>183</v>
      </c>
      <c r="P271" s="2" t="str">
        <f t="shared" si="7"/>
        <v>145510-ABONOS Y FERTILIZANTES-SUBCUENTA</v>
      </c>
      <c r="Q271" t="s">
        <v>2132</v>
      </c>
    </row>
    <row r="272" spans="13:17" x14ac:dyDescent="0.25">
      <c r="M272" s="34">
        <v>145515</v>
      </c>
      <c r="N272" s="2" t="s">
        <v>496</v>
      </c>
      <c r="O272" s="2" t="s">
        <v>183</v>
      </c>
      <c r="P272" s="2" t="str">
        <f t="shared" si="7"/>
        <v>145515-SEMILLAS TERMINADAS-SUBCUENTA</v>
      </c>
      <c r="Q272" t="s">
        <v>2133</v>
      </c>
    </row>
    <row r="273" spans="13:17" x14ac:dyDescent="0.25">
      <c r="M273" s="34">
        <v>145520</v>
      </c>
      <c r="N273" s="2" t="s">
        <v>497</v>
      </c>
      <c r="O273" s="2" t="s">
        <v>183</v>
      </c>
      <c r="P273" s="2" t="str">
        <f t="shared" si="7"/>
        <v>145520-FUNGICIDAS Y HERBICIDAS-SUBCUENTA</v>
      </c>
      <c r="Q273" t="s">
        <v>2134</v>
      </c>
    </row>
    <row r="274" spans="13:17" x14ac:dyDescent="0.25">
      <c r="M274" s="34">
        <v>145525</v>
      </c>
      <c r="N274" s="2" t="s">
        <v>498</v>
      </c>
      <c r="O274" s="2" t="s">
        <v>183</v>
      </c>
      <c r="P274" s="2" t="str">
        <f t="shared" si="7"/>
        <v>145525-MATERIALES Y REPUESTOS-SUBCUENTA</v>
      </c>
      <c r="Q274" t="s">
        <v>2135</v>
      </c>
    </row>
    <row r="275" spans="13:17" x14ac:dyDescent="0.25">
      <c r="M275" s="34">
        <v>145530</v>
      </c>
      <c r="N275" s="2" t="s">
        <v>499</v>
      </c>
      <c r="O275" s="2" t="s">
        <v>183</v>
      </c>
      <c r="P275" s="2" t="str">
        <f t="shared" si="7"/>
        <v>145530-LOZA Y CRISTALERIA-SUBCUENTA</v>
      </c>
      <c r="Q275" t="s">
        <v>2136</v>
      </c>
    </row>
    <row r="276" spans="13:17" x14ac:dyDescent="0.25">
      <c r="M276" s="34">
        <v>145535</v>
      </c>
      <c r="N276" s="2" t="s">
        <v>500</v>
      </c>
      <c r="O276" s="2" t="s">
        <v>183</v>
      </c>
      <c r="P276" s="2" t="str">
        <f t="shared" si="7"/>
        <v>145535-HERRAMIENTAS-SUBCUENTA</v>
      </c>
      <c r="Q276" t="s">
        <v>2137</v>
      </c>
    </row>
    <row r="277" spans="13:17" x14ac:dyDescent="0.25">
      <c r="M277" s="34">
        <v>145540</v>
      </c>
      <c r="N277" s="2" t="s">
        <v>501</v>
      </c>
      <c r="O277" s="2" t="s">
        <v>183</v>
      </c>
      <c r="P277" s="2" t="str">
        <f t="shared" si="7"/>
        <v>145540-MEDICINAS-SUBCUENTA</v>
      </c>
      <c r="Q277" t="s">
        <v>2138</v>
      </c>
    </row>
    <row r="278" spans="13:17" x14ac:dyDescent="0.25">
      <c r="M278" s="34">
        <v>145545</v>
      </c>
      <c r="N278" s="2" t="s">
        <v>502</v>
      </c>
      <c r="O278" s="2" t="s">
        <v>183</v>
      </c>
      <c r="P278" s="2" t="str">
        <f t="shared" si="7"/>
        <v>145545-ELEMENTOS HOSPITALARIOS-SUBCUENTA</v>
      </c>
      <c r="Q278" t="s">
        <v>2139</v>
      </c>
    </row>
    <row r="279" spans="13:17" x14ac:dyDescent="0.25">
      <c r="M279" s="34">
        <v>145550</v>
      </c>
      <c r="N279" s="2" t="s">
        <v>503</v>
      </c>
      <c r="O279" s="2" t="s">
        <v>183</v>
      </c>
      <c r="P279" s="2" t="str">
        <f t="shared" si="7"/>
        <v>145550-INSTRUMENTAL QUIRURGICO-SUBCUENTA</v>
      </c>
      <c r="Q279" t="s">
        <v>2140</v>
      </c>
    </row>
    <row r="280" spans="13:17" x14ac:dyDescent="0.25">
      <c r="M280" s="34">
        <v>145555</v>
      </c>
      <c r="N280" s="2" t="s">
        <v>504</v>
      </c>
      <c r="O280" s="2" t="s">
        <v>183</v>
      </c>
      <c r="P280" s="2" t="str">
        <f t="shared" si="7"/>
        <v>145555-DOTACION Y SUMINISTRO A TRABAJADORES-SUBCUENTA</v>
      </c>
      <c r="Q280" t="s">
        <v>2141</v>
      </c>
    </row>
    <row r="281" spans="13:17" x14ac:dyDescent="0.25">
      <c r="M281" s="34">
        <v>145560</v>
      </c>
      <c r="N281" s="2" t="s">
        <v>505</v>
      </c>
      <c r="O281" s="2" t="s">
        <v>183</v>
      </c>
      <c r="P281" s="2" t="str">
        <f t="shared" si="7"/>
        <v>145560-ELEMENTOS DE ROPERIA Y LENCERIA-SUBCUENTA</v>
      </c>
      <c r="Q281" t="s">
        <v>2142</v>
      </c>
    </row>
    <row r="282" spans="13:17" x14ac:dyDescent="0.25">
      <c r="M282" s="34">
        <v>145595</v>
      </c>
      <c r="N282" s="2" t="s">
        <v>323</v>
      </c>
      <c r="O282" s="2" t="s">
        <v>183</v>
      </c>
      <c r="P282" s="2" t="str">
        <f t="shared" si="7"/>
        <v>145595-OTROS-SUBCUENTA</v>
      </c>
      <c r="Q282" t="s">
        <v>2143</v>
      </c>
    </row>
    <row r="283" spans="13:17" x14ac:dyDescent="0.25">
      <c r="M283" s="34">
        <v>145599</v>
      </c>
      <c r="N283" s="2" t="s">
        <v>367</v>
      </c>
      <c r="O283" s="2" t="s">
        <v>183</v>
      </c>
      <c r="P283" s="2" t="str">
        <f t="shared" si="7"/>
        <v>145599-AJUSTES POR INFLACION-SUBCUENTA</v>
      </c>
      <c r="Q283" t="s">
        <v>2144</v>
      </c>
    </row>
    <row r="284" spans="13:17" x14ac:dyDescent="0.25">
      <c r="M284" s="34">
        <v>1460</v>
      </c>
      <c r="N284" s="2" t="s">
        <v>506</v>
      </c>
      <c r="O284" s="2" t="s">
        <v>182</v>
      </c>
      <c r="P284" s="2" t="str">
        <f t="shared" si="7"/>
        <v>1460-ENVASES Y EMPAQUES-CUENTA</v>
      </c>
      <c r="Q284" t="s">
        <v>2145</v>
      </c>
    </row>
    <row r="285" spans="13:17" x14ac:dyDescent="0.25">
      <c r="M285" s="34" t="s">
        <v>201</v>
      </c>
      <c r="N285" s="2" t="s">
        <v>188</v>
      </c>
      <c r="O285" s="2" t="s">
        <v>188</v>
      </c>
      <c r="P285" s="2" t="str">
        <f t="shared" si="7"/>
        <v xml:space="preserve">146001 a 146098 </v>
      </c>
      <c r="Q285" t="s">
        <v>2146</v>
      </c>
    </row>
    <row r="286" spans="13:17" x14ac:dyDescent="0.25">
      <c r="M286" s="34">
        <v>146099</v>
      </c>
      <c r="N286" s="2" t="s">
        <v>367</v>
      </c>
      <c r="O286" s="2" t="s">
        <v>183</v>
      </c>
      <c r="P286" s="2" t="str">
        <f t="shared" si="7"/>
        <v>146099-AJUSTES POR INFLACION-SUBCUENTA</v>
      </c>
      <c r="Q286" t="s">
        <v>2147</v>
      </c>
    </row>
    <row r="287" spans="13:17" x14ac:dyDescent="0.25">
      <c r="M287" s="34">
        <v>1465</v>
      </c>
      <c r="N287" s="2" t="s">
        <v>507</v>
      </c>
      <c r="O287" s="2" t="s">
        <v>182</v>
      </c>
      <c r="P287" s="2" t="str">
        <f t="shared" si="7"/>
        <v>1465-INVENTARIOS EN TRANSITO-CUENTA</v>
      </c>
      <c r="Q287" t="s">
        <v>2148</v>
      </c>
    </row>
    <row r="288" spans="13:17" x14ac:dyDescent="0.25">
      <c r="M288" s="34" t="s">
        <v>202</v>
      </c>
      <c r="N288" s="2" t="s">
        <v>188</v>
      </c>
      <c r="O288" s="2" t="s">
        <v>188</v>
      </c>
      <c r="P288" s="2" t="str">
        <f t="shared" si="7"/>
        <v xml:space="preserve">146501 a 146598 </v>
      </c>
      <c r="Q288" t="s">
        <v>2149</v>
      </c>
    </row>
    <row r="289" spans="13:17" x14ac:dyDescent="0.25">
      <c r="M289" s="34">
        <v>146599</v>
      </c>
      <c r="N289" s="2" t="s">
        <v>367</v>
      </c>
      <c r="O289" s="2" t="s">
        <v>183</v>
      </c>
      <c r="P289" s="2" t="str">
        <f t="shared" si="7"/>
        <v>146599-AJUSTES POR INFLACION-SUBCUENTA</v>
      </c>
      <c r="Q289" t="s">
        <v>2150</v>
      </c>
    </row>
    <row r="290" spans="13:17" x14ac:dyDescent="0.25">
      <c r="M290" s="34">
        <v>1499</v>
      </c>
      <c r="N290" s="2" t="s">
        <v>379</v>
      </c>
      <c r="O290" s="2" t="s">
        <v>182</v>
      </c>
      <c r="P290" s="2" t="str">
        <f t="shared" si="7"/>
        <v>1499-PROVISIONES-CUENTA</v>
      </c>
      <c r="Q290" t="s">
        <v>2151</v>
      </c>
    </row>
    <row r="291" spans="13:17" x14ac:dyDescent="0.25">
      <c r="M291" s="34">
        <v>149905</v>
      </c>
      <c r="N291" s="2" t="s">
        <v>508</v>
      </c>
      <c r="O291" s="2" t="s">
        <v>183</v>
      </c>
      <c r="P291" s="2" t="str">
        <f t="shared" si="7"/>
        <v>149905-PARA OBSOLESCENCIA-SUBCUENTA</v>
      </c>
      <c r="Q291" t="s">
        <v>2152</v>
      </c>
    </row>
    <row r="292" spans="13:17" x14ac:dyDescent="0.25">
      <c r="M292" s="34">
        <v>149910</v>
      </c>
      <c r="N292" s="2" t="s">
        <v>509</v>
      </c>
      <c r="O292" s="2" t="s">
        <v>183</v>
      </c>
      <c r="P292" s="2" t="str">
        <f t="shared" si="7"/>
        <v>149910-PARA DIFERENCIA DE INVENTARIO FISICO-SUBCUENTA</v>
      </c>
      <c r="Q292" t="s">
        <v>2153</v>
      </c>
    </row>
    <row r="293" spans="13:17" x14ac:dyDescent="0.25">
      <c r="M293" s="34">
        <v>149915</v>
      </c>
      <c r="N293" s="2" t="s">
        <v>510</v>
      </c>
      <c r="O293" s="2" t="s">
        <v>183</v>
      </c>
      <c r="P293" s="2" t="str">
        <f t="shared" si="7"/>
        <v>149915-PARA PERDIDAS DE INVENTARIOS-SUBCUENTA</v>
      </c>
      <c r="Q293" t="s">
        <v>2154</v>
      </c>
    </row>
    <row r="294" spans="13:17" x14ac:dyDescent="0.25">
      <c r="M294" s="34">
        <v>149920</v>
      </c>
      <c r="N294" s="2" t="s">
        <v>511</v>
      </c>
      <c r="O294" s="2" t="s">
        <v>183</v>
      </c>
      <c r="P294" s="2" t="str">
        <f t="shared" si="7"/>
        <v>149920-LIFO-SUBCUENTA</v>
      </c>
      <c r="Q294" t="s">
        <v>2155</v>
      </c>
    </row>
    <row r="295" spans="13:17" x14ac:dyDescent="0.25">
      <c r="M295" s="34">
        <v>15</v>
      </c>
      <c r="N295" s="2" t="s">
        <v>512</v>
      </c>
      <c r="O295" s="2" t="s">
        <v>181</v>
      </c>
      <c r="P295" s="2" t="str">
        <f t="shared" si="7"/>
        <v>15-PROPIEDADES PLANTA Y EQUIPO-GRUPO</v>
      </c>
      <c r="Q295" t="s">
        <v>2156</v>
      </c>
    </row>
    <row r="296" spans="13:17" x14ac:dyDescent="0.25">
      <c r="M296" s="34">
        <v>1504</v>
      </c>
      <c r="N296" s="2" t="s">
        <v>490</v>
      </c>
      <c r="O296" s="2" t="s">
        <v>182</v>
      </c>
      <c r="P296" s="2" t="str">
        <f t="shared" si="7"/>
        <v>1504-TERRENOS-CUENTA</v>
      </c>
      <c r="Q296" t="s">
        <v>2157</v>
      </c>
    </row>
    <row r="297" spans="13:17" x14ac:dyDescent="0.25">
      <c r="M297" s="34">
        <v>150405</v>
      </c>
      <c r="N297" s="2" t="s">
        <v>513</v>
      </c>
      <c r="O297" s="2" t="s">
        <v>183</v>
      </c>
      <c r="P297" s="2" t="str">
        <f t="shared" si="7"/>
        <v>150405-URBANOS-SUBCUENTA</v>
      </c>
      <c r="Q297" t="s">
        <v>2158</v>
      </c>
    </row>
    <row r="298" spans="13:17" x14ac:dyDescent="0.25">
      <c r="M298" s="34">
        <v>150410</v>
      </c>
      <c r="N298" s="2" t="s">
        <v>514</v>
      </c>
      <c r="O298" s="2" t="s">
        <v>183</v>
      </c>
      <c r="P298" s="2" t="str">
        <f t="shared" si="7"/>
        <v>150410-RURALES-SUBCUENTA</v>
      </c>
      <c r="Q298" t="s">
        <v>2159</v>
      </c>
    </row>
    <row r="299" spans="13:17" x14ac:dyDescent="0.25">
      <c r="M299" s="34">
        <v>150499</v>
      </c>
      <c r="N299" s="2" t="s">
        <v>367</v>
      </c>
      <c r="O299" s="2" t="s">
        <v>183</v>
      </c>
      <c r="P299" s="2" t="str">
        <f t="shared" si="7"/>
        <v>150499-AJUSTES POR INFLACION-SUBCUENTA</v>
      </c>
      <c r="Q299" t="s">
        <v>2160</v>
      </c>
    </row>
    <row r="300" spans="13:17" x14ac:dyDescent="0.25">
      <c r="M300" s="34">
        <v>1506</v>
      </c>
      <c r="N300" s="2" t="s">
        <v>515</v>
      </c>
      <c r="O300" s="2" t="s">
        <v>182</v>
      </c>
      <c r="P300" s="2" t="str">
        <f t="shared" si="7"/>
        <v>1506-MATERIALES PROYECTOS PETROLEROS-CUENTA</v>
      </c>
      <c r="Q300" t="s">
        <v>2161</v>
      </c>
    </row>
    <row r="301" spans="13:17" x14ac:dyDescent="0.25">
      <c r="M301" s="34">
        <v>150605</v>
      </c>
      <c r="N301" s="2" t="s">
        <v>516</v>
      </c>
      <c r="O301" s="2" t="s">
        <v>183</v>
      </c>
      <c r="P301" s="2" t="str">
        <f t="shared" si="7"/>
        <v>150605-TUBERIAS Y EQUIPO-SUBCUENTA</v>
      </c>
      <c r="Q301" t="s">
        <v>2162</v>
      </c>
    </row>
    <row r="302" spans="13:17" x14ac:dyDescent="0.25">
      <c r="M302" s="34">
        <v>150610</v>
      </c>
      <c r="N302" s="2" t="s">
        <v>517</v>
      </c>
      <c r="O302" s="2" t="s">
        <v>183</v>
      </c>
      <c r="P302" s="2" t="str">
        <f t="shared" si="7"/>
        <v>150610-COSTOS DE IMPORTACION MATERIALES-SUBCUENTA</v>
      </c>
      <c r="Q302" t="s">
        <v>2163</v>
      </c>
    </row>
    <row r="303" spans="13:17" x14ac:dyDescent="0.25">
      <c r="M303" s="34">
        <v>150615</v>
      </c>
      <c r="N303" s="2" t="s">
        <v>518</v>
      </c>
      <c r="O303" s="2" t="s">
        <v>183</v>
      </c>
      <c r="P303" s="2" t="str">
        <f t="shared" si="7"/>
        <v>150615-PROYECTOS DE CONSTRUCCION-SUBCUENTA</v>
      </c>
      <c r="Q303" t="s">
        <v>2164</v>
      </c>
    </row>
    <row r="304" spans="13:17" x14ac:dyDescent="0.25">
      <c r="M304" s="34">
        <v>150699</v>
      </c>
      <c r="N304" s="2" t="s">
        <v>367</v>
      </c>
      <c r="O304" s="2" t="s">
        <v>183</v>
      </c>
      <c r="P304" s="2" t="str">
        <f t="shared" si="7"/>
        <v>150699-AJUSTES POR INFLACION-SUBCUENTA</v>
      </c>
      <c r="Q304" t="s">
        <v>2165</v>
      </c>
    </row>
    <row r="305" spans="13:17" x14ac:dyDescent="0.25">
      <c r="M305" s="34">
        <v>1508</v>
      </c>
      <c r="N305" s="2" t="s">
        <v>519</v>
      </c>
      <c r="O305" s="2" t="s">
        <v>182</v>
      </c>
      <c r="P305" s="2" t="str">
        <f t="shared" si="7"/>
        <v>1508-CONSTRUCCIONES EN CURSO-CUENTA</v>
      </c>
      <c r="Q305" t="s">
        <v>2166</v>
      </c>
    </row>
    <row r="306" spans="13:17" x14ac:dyDescent="0.25">
      <c r="M306" s="34">
        <v>150805</v>
      </c>
      <c r="N306" s="2" t="s">
        <v>520</v>
      </c>
      <c r="O306" s="2" t="s">
        <v>183</v>
      </c>
      <c r="P306" s="2" t="str">
        <f t="shared" si="7"/>
        <v>150805-CONSTRUCCIONES Y EDIFICACIONES-SUBCUENTA</v>
      </c>
      <c r="Q306" t="s">
        <v>2167</v>
      </c>
    </row>
    <row r="307" spans="13:17" x14ac:dyDescent="0.25">
      <c r="M307" s="34">
        <v>150810</v>
      </c>
      <c r="N307" s="2" t="s">
        <v>521</v>
      </c>
      <c r="O307" s="2" t="s">
        <v>183</v>
      </c>
      <c r="P307" s="2" t="str">
        <f t="shared" si="7"/>
        <v>150810-ACUEDUCTOS PLANTAS Y REDES-SUBCUENTA</v>
      </c>
      <c r="Q307" t="s">
        <v>2168</v>
      </c>
    </row>
    <row r="308" spans="13:17" x14ac:dyDescent="0.25">
      <c r="M308" s="34">
        <v>150815</v>
      </c>
      <c r="N308" s="2" t="s">
        <v>522</v>
      </c>
      <c r="O308" s="2" t="s">
        <v>183</v>
      </c>
      <c r="P308" s="2" t="str">
        <f t="shared" si="7"/>
        <v>150815-VIAS DE COMUNICACION-SUBCUENTA</v>
      </c>
      <c r="Q308" t="s">
        <v>2169</v>
      </c>
    </row>
    <row r="309" spans="13:17" x14ac:dyDescent="0.25">
      <c r="M309" s="34">
        <v>150820</v>
      </c>
      <c r="N309" s="2" t="s">
        <v>523</v>
      </c>
      <c r="O309" s="2" t="s">
        <v>183</v>
      </c>
      <c r="P309" s="2" t="str">
        <f t="shared" si="7"/>
        <v>150820-POZOS ARTESIANOS-SUBCUENTA</v>
      </c>
      <c r="Q309" t="s">
        <v>2170</v>
      </c>
    </row>
    <row r="310" spans="13:17" x14ac:dyDescent="0.25">
      <c r="M310" s="34">
        <v>150825</v>
      </c>
      <c r="N310" s="2" t="s">
        <v>524</v>
      </c>
      <c r="O310" s="2" t="s">
        <v>183</v>
      </c>
      <c r="P310" s="2" t="str">
        <f t="shared" si="7"/>
        <v>150825-PROYECTOS DE EXPLORACION-SUBCUENTA</v>
      </c>
      <c r="Q310" t="s">
        <v>2171</v>
      </c>
    </row>
    <row r="311" spans="13:17" x14ac:dyDescent="0.25">
      <c r="M311" s="34">
        <v>150830</v>
      </c>
      <c r="N311" s="2" t="s">
        <v>525</v>
      </c>
      <c r="O311" s="2" t="s">
        <v>183</v>
      </c>
      <c r="P311" s="2" t="str">
        <f t="shared" si="7"/>
        <v>150830-PROYECTOS DE DESARROLLO-SUBCUENTA</v>
      </c>
      <c r="Q311" t="s">
        <v>2172</v>
      </c>
    </row>
    <row r="312" spans="13:17" x14ac:dyDescent="0.25">
      <c r="M312" s="34">
        <v>150899</v>
      </c>
      <c r="N312" s="2" t="s">
        <v>367</v>
      </c>
      <c r="O312" s="2" t="s">
        <v>183</v>
      </c>
      <c r="P312" s="2" t="str">
        <f t="shared" si="7"/>
        <v>150899-AJUSTES POR INFLACION-SUBCUENTA</v>
      </c>
      <c r="Q312" t="s">
        <v>2173</v>
      </c>
    </row>
    <row r="313" spans="13:17" x14ac:dyDescent="0.25">
      <c r="M313" s="34">
        <v>1512</v>
      </c>
      <c r="N313" s="2" t="s">
        <v>526</v>
      </c>
      <c r="O313" s="2" t="s">
        <v>182</v>
      </c>
      <c r="P313" s="2" t="str">
        <f t="shared" si="7"/>
        <v>1512-MAQUINARIA Y EQUIPOS EN MONTAJE-CUENTA</v>
      </c>
      <c r="Q313" t="s">
        <v>2174</v>
      </c>
    </row>
    <row r="314" spans="13:17" x14ac:dyDescent="0.25">
      <c r="M314" s="34">
        <v>151205</v>
      </c>
      <c r="N314" s="2" t="s">
        <v>527</v>
      </c>
      <c r="O314" s="2" t="s">
        <v>183</v>
      </c>
      <c r="P314" s="2" t="str">
        <f t="shared" si="7"/>
        <v>151205-MAQUINARIA Y EQUIPO-SUBCUENTA</v>
      </c>
      <c r="Q314" t="s">
        <v>2175</v>
      </c>
    </row>
    <row r="315" spans="13:17" x14ac:dyDescent="0.25">
      <c r="M315" s="34">
        <v>151210</v>
      </c>
      <c r="N315" s="2" t="s">
        <v>528</v>
      </c>
      <c r="O315" s="2" t="s">
        <v>183</v>
      </c>
      <c r="P315" s="2" t="str">
        <f t="shared" si="7"/>
        <v>151210-EQUIPO DE OFICINA-SUBCUENTA</v>
      </c>
      <c r="Q315" t="s">
        <v>2176</v>
      </c>
    </row>
    <row r="316" spans="13:17" x14ac:dyDescent="0.25">
      <c r="M316" s="34">
        <v>151215</v>
      </c>
      <c r="N316" s="2" t="s">
        <v>529</v>
      </c>
      <c r="O316" s="2" t="s">
        <v>183</v>
      </c>
      <c r="P316" s="2" t="str">
        <f t="shared" si="7"/>
        <v>151215-EQUIPO DE COMPUTACION Y COMUNICACION-SUBCUENTA</v>
      </c>
      <c r="Q316" t="s">
        <v>2177</v>
      </c>
    </row>
    <row r="317" spans="13:17" x14ac:dyDescent="0.25">
      <c r="M317" s="34">
        <v>151220</v>
      </c>
      <c r="N317" s="2" t="s">
        <v>530</v>
      </c>
      <c r="O317" s="2" t="s">
        <v>183</v>
      </c>
      <c r="P317" s="2" t="str">
        <f t="shared" si="7"/>
        <v>151220-EQUIPO MEDICO-CIENTIFICO-SUBCUENTA</v>
      </c>
      <c r="Q317" t="s">
        <v>2178</v>
      </c>
    </row>
    <row r="318" spans="13:17" x14ac:dyDescent="0.25">
      <c r="M318" s="34">
        <v>151225</v>
      </c>
      <c r="N318" s="2" t="s">
        <v>531</v>
      </c>
      <c r="O318" s="2" t="s">
        <v>183</v>
      </c>
      <c r="P318" s="2" t="str">
        <f t="shared" si="7"/>
        <v>151225-EQUIPO DE HOTELES Y RESTAURANTES-SUBCUENTA</v>
      </c>
      <c r="Q318" t="s">
        <v>2179</v>
      </c>
    </row>
    <row r="319" spans="13:17" x14ac:dyDescent="0.25">
      <c r="M319" s="34">
        <v>151230</v>
      </c>
      <c r="N319" s="2" t="s">
        <v>532</v>
      </c>
      <c r="O319" s="2" t="s">
        <v>183</v>
      </c>
      <c r="P319" s="2" t="str">
        <f t="shared" si="7"/>
        <v>151230-FLOTA Y EQUIPO DE TRANSPORTE-SUBCUENTA</v>
      </c>
      <c r="Q319" t="s">
        <v>2180</v>
      </c>
    </row>
    <row r="320" spans="13:17" x14ac:dyDescent="0.25">
      <c r="M320" s="34">
        <v>151235</v>
      </c>
      <c r="N320" s="2" t="s">
        <v>533</v>
      </c>
      <c r="O320" s="2" t="s">
        <v>183</v>
      </c>
      <c r="P320" s="2" t="str">
        <f t="shared" si="7"/>
        <v>151235-FLOTA Y EQUIPO FLUVIAL Y/O MARITIMO-SUBCUENTA</v>
      </c>
      <c r="Q320" t="s">
        <v>2181</v>
      </c>
    </row>
    <row r="321" spans="13:17" x14ac:dyDescent="0.25">
      <c r="M321" s="34">
        <v>151240</v>
      </c>
      <c r="N321" s="2" t="s">
        <v>534</v>
      </c>
      <c r="O321" s="2" t="s">
        <v>183</v>
      </c>
      <c r="P321" s="2" t="str">
        <f t="shared" si="7"/>
        <v>151240-FLOTA Y EQUIPO AEREO-SUBCUENTA</v>
      </c>
      <c r="Q321" t="s">
        <v>2182</v>
      </c>
    </row>
    <row r="322" spans="13:17" x14ac:dyDescent="0.25">
      <c r="M322" s="34">
        <v>151245</v>
      </c>
      <c r="N322" s="2" t="s">
        <v>535</v>
      </c>
      <c r="O322" s="2" t="s">
        <v>183</v>
      </c>
      <c r="P322" s="2" t="str">
        <f t="shared" si="7"/>
        <v>151245-FLOTA Y EQUIPO FERREO-SUBCUENTA</v>
      </c>
      <c r="Q322" t="s">
        <v>2183</v>
      </c>
    </row>
    <row r="323" spans="13:17" x14ac:dyDescent="0.25">
      <c r="M323" s="34">
        <v>151250</v>
      </c>
      <c r="N323" s="2" t="s">
        <v>536</v>
      </c>
      <c r="O323" s="2" t="s">
        <v>183</v>
      </c>
      <c r="P323" s="2" t="str">
        <f t="shared" si="7"/>
        <v>151250-PLANTAS Y REDES-SUBCUENTA</v>
      </c>
      <c r="Q323" t="s">
        <v>2184</v>
      </c>
    </row>
    <row r="324" spans="13:17" x14ac:dyDescent="0.25">
      <c r="M324" s="34">
        <v>151299</v>
      </c>
      <c r="N324" s="2" t="s">
        <v>367</v>
      </c>
      <c r="O324" s="2" t="s">
        <v>183</v>
      </c>
      <c r="P324" s="2" t="str">
        <f t="shared" ref="P324:P387" si="8">IF(AND(M324&lt;&gt;"",N324&lt;&gt;"",O324&lt;&gt;""),M324&amp;"-"&amp;N324&amp;"-"&amp;O324,IF(AND(M324="",N324&lt;&gt;"",O324&lt;&gt;""),N324&amp;"-"&amp;O324,IF(AND(M324&lt;&gt;"",N324="",O324&lt;&gt;""),M324&amp;"-"&amp;O324,IF(AND(M324&lt;&gt;"",N324&lt;&gt;"",O324=""),M324&amp;"-"&amp;N324,IF(AND(M324&lt;&gt;"",N324="",O324=""),M324,"")))))</f>
        <v>151299-AJUSTES POR INFLACION-SUBCUENTA</v>
      </c>
      <c r="Q324" t="s">
        <v>2185</v>
      </c>
    </row>
    <row r="325" spans="13:17" x14ac:dyDescent="0.25">
      <c r="M325" s="34">
        <v>1516</v>
      </c>
      <c r="N325" s="2" t="s">
        <v>520</v>
      </c>
      <c r="O325" s="2" t="s">
        <v>182</v>
      </c>
      <c r="P325" s="2" t="str">
        <f t="shared" si="8"/>
        <v>1516-CONSTRUCCIONES Y EDIFICACIONES-CUENTA</v>
      </c>
      <c r="Q325" t="s">
        <v>2186</v>
      </c>
    </row>
    <row r="326" spans="13:17" x14ac:dyDescent="0.25">
      <c r="M326" s="34">
        <v>151605</v>
      </c>
      <c r="N326" s="2" t="s">
        <v>537</v>
      </c>
      <c r="O326" s="2" t="s">
        <v>183</v>
      </c>
      <c r="P326" s="2" t="str">
        <f t="shared" si="8"/>
        <v>151605-EDIFICIOS-SUBCUENTA</v>
      </c>
      <c r="Q326" t="s">
        <v>2187</v>
      </c>
    </row>
    <row r="327" spans="13:17" x14ac:dyDescent="0.25">
      <c r="M327" s="34">
        <v>151610</v>
      </c>
      <c r="N327" s="2" t="s">
        <v>538</v>
      </c>
      <c r="O327" s="2" t="s">
        <v>183</v>
      </c>
      <c r="P327" s="2" t="str">
        <f t="shared" si="8"/>
        <v>151610-OFICINAS-SUBCUENTA</v>
      </c>
      <c r="Q327" t="s">
        <v>2188</v>
      </c>
    </row>
    <row r="328" spans="13:17" x14ac:dyDescent="0.25">
      <c r="M328" s="34">
        <v>151615</v>
      </c>
      <c r="N328" s="2" t="s">
        <v>539</v>
      </c>
      <c r="O328" s="2" t="s">
        <v>183</v>
      </c>
      <c r="P328" s="2" t="str">
        <f t="shared" si="8"/>
        <v>151615-ALMACENES-SUBCUENTA</v>
      </c>
      <c r="Q328" t="s">
        <v>2189</v>
      </c>
    </row>
    <row r="329" spans="13:17" x14ac:dyDescent="0.25">
      <c r="M329" s="34">
        <v>151620</v>
      </c>
      <c r="N329" s="2" t="s">
        <v>540</v>
      </c>
      <c r="O329" s="2" t="s">
        <v>183</v>
      </c>
      <c r="P329" s="2" t="str">
        <f t="shared" si="8"/>
        <v>151620-FABRICAS Y PLANTAS INDUSTRIALES-SUBCUENTA</v>
      </c>
      <c r="Q329" t="s">
        <v>2190</v>
      </c>
    </row>
    <row r="330" spans="13:17" x14ac:dyDescent="0.25">
      <c r="M330" s="34">
        <v>151625</v>
      </c>
      <c r="N330" s="2" t="s">
        <v>541</v>
      </c>
      <c r="O330" s="2" t="s">
        <v>183</v>
      </c>
      <c r="P330" s="2" t="str">
        <f t="shared" si="8"/>
        <v>151625-SALAS DE EXHIBICION Y VENTAS-SUBCUENTA</v>
      </c>
      <c r="Q330" t="s">
        <v>2191</v>
      </c>
    </row>
    <row r="331" spans="13:17" x14ac:dyDescent="0.25">
      <c r="M331" s="34">
        <v>151630</v>
      </c>
      <c r="N331" s="2" t="s">
        <v>542</v>
      </c>
      <c r="O331" s="2" t="s">
        <v>183</v>
      </c>
      <c r="P331" s="2" t="str">
        <f t="shared" si="8"/>
        <v>151630-CAFETERIA Y CASINOS-SUBCUENTA</v>
      </c>
      <c r="Q331" t="s">
        <v>2192</v>
      </c>
    </row>
    <row r="332" spans="13:17" x14ac:dyDescent="0.25">
      <c r="M332" s="34">
        <v>151635</v>
      </c>
      <c r="N332" s="2" t="s">
        <v>543</v>
      </c>
      <c r="O332" s="2" t="s">
        <v>183</v>
      </c>
      <c r="P332" s="2" t="str">
        <f t="shared" si="8"/>
        <v>151635-SILOS-SUBCUENTA</v>
      </c>
      <c r="Q332" t="s">
        <v>2193</v>
      </c>
    </row>
    <row r="333" spans="13:17" x14ac:dyDescent="0.25">
      <c r="M333" s="34">
        <v>151640</v>
      </c>
      <c r="N333" s="2" t="s">
        <v>544</v>
      </c>
      <c r="O333" s="2" t="s">
        <v>183</v>
      </c>
      <c r="P333" s="2" t="str">
        <f t="shared" si="8"/>
        <v>151640-INVERNADEROS-SUBCUENTA</v>
      </c>
      <c r="Q333" t="s">
        <v>2194</v>
      </c>
    </row>
    <row r="334" spans="13:17" x14ac:dyDescent="0.25">
      <c r="M334" s="34">
        <v>151645</v>
      </c>
      <c r="N334" s="2" t="s">
        <v>545</v>
      </c>
      <c r="O334" s="2" t="s">
        <v>183</v>
      </c>
      <c r="P334" s="2" t="str">
        <f t="shared" si="8"/>
        <v>151645-CASETAS Y CAMPAMENTOS-SUBCUENTA</v>
      </c>
      <c r="Q334" t="s">
        <v>2195</v>
      </c>
    </row>
    <row r="335" spans="13:17" x14ac:dyDescent="0.25">
      <c r="M335" s="34">
        <v>151650</v>
      </c>
      <c r="N335" s="2" t="s">
        <v>546</v>
      </c>
      <c r="O335" s="2" t="s">
        <v>183</v>
      </c>
      <c r="P335" s="2" t="str">
        <f t="shared" si="8"/>
        <v>151650-INSTALACIONES AGROPECUARIAS-SUBCUENTA</v>
      </c>
      <c r="Q335" t="s">
        <v>2196</v>
      </c>
    </row>
    <row r="336" spans="13:17" x14ac:dyDescent="0.25">
      <c r="M336" s="34">
        <v>151655</v>
      </c>
      <c r="N336" s="2" t="s">
        <v>547</v>
      </c>
      <c r="O336" s="2" t="s">
        <v>183</v>
      </c>
      <c r="P336" s="2" t="str">
        <f t="shared" si="8"/>
        <v>151655-VIVIENDAS PARA EMPLEADOS Y OBREROS-SUBCUENTA</v>
      </c>
      <c r="Q336" t="s">
        <v>2197</v>
      </c>
    </row>
    <row r="337" spans="13:17" x14ac:dyDescent="0.25">
      <c r="M337" s="34">
        <v>151660</v>
      </c>
      <c r="N337" s="2" t="s">
        <v>548</v>
      </c>
      <c r="O337" s="2" t="s">
        <v>183</v>
      </c>
      <c r="P337" s="2" t="str">
        <f t="shared" si="8"/>
        <v>151660-TERMINAL DE BUSES Y TAXIS-SUBCUENTA</v>
      </c>
      <c r="Q337" t="s">
        <v>2198</v>
      </c>
    </row>
    <row r="338" spans="13:17" x14ac:dyDescent="0.25">
      <c r="M338" s="34">
        <v>151663</v>
      </c>
      <c r="N338" s="2" t="s">
        <v>549</v>
      </c>
      <c r="O338" s="2" t="s">
        <v>183</v>
      </c>
      <c r="P338" s="2" t="str">
        <f t="shared" si="8"/>
        <v>151663-TERMINAL MARITIMO-SUBCUENTA</v>
      </c>
      <c r="Q338" t="s">
        <v>2199</v>
      </c>
    </row>
    <row r="339" spans="13:17" x14ac:dyDescent="0.25">
      <c r="M339" s="34">
        <v>151665</v>
      </c>
      <c r="N339" s="2" t="s">
        <v>550</v>
      </c>
      <c r="O339" s="2" t="s">
        <v>183</v>
      </c>
      <c r="P339" s="2" t="str">
        <f t="shared" si="8"/>
        <v>151665-TERMINAL FERREO-SUBCUENTA</v>
      </c>
      <c r="Q339" t="s">
        <v>2200</v>
      </c>
    </row>
    <row r="340" spans="13:17" x14ac:dyDescent="0.25">
      <c r="M340" s="34">
        <v>151670</v>
      </c>
      <c r="N340" s="2" t="s">
        <v>551</v>
      </c>
      <c r="O340" s="2" t="s">
        <v>183</v>
      </c>
      <c r="P340" s="2" t="str">
        <f t="shared" si="8"/>
        <v>151670-PARQUEADEROS, GARAJES Y DEPOSITOS-SUBCUENTA</v>
      </c>
      <c r="Q340" t="s">
        <v>2201</v>
      </c>
    </row>
    <row r="341" spans="13:17" x14ac:dyDescent="0.25">
      <c r="M341" s="34">
        <v>151675</v>
      </c>
      <c r="N341" s="2" t="s">
        <v>552</v>
      </c>
      <c r="O341" s="2" t="s">
        <v>183</v>
      </c>
      <c r="P341" s="2" t="str">
        <f t="shared" si="8"/>
        <v>151675-HANGARES-SUBCUENTA</v>
      </c>
      <c r="Q341" t="s">
        <v>2202</v>
      </c>
    </row>
    <row r="342" spans="13:17" x14ac:dyDescent="0.25">
      <c r="M342" s="34">
        <v>151680</v>
      </c>
      <c r="N342" s="2" t="s">
        <v>553</v>
      </c>
      <c r="O342" s="2" t="s">
        <v>183</v>
      </c>
      <c r="P342" s="2" t="str">
        <f t="shared" si="8"/>
        <v>151680-BODEGAS-SUBCUENTA</v>
      </c>
      <c r="Q342" t="s">
        <v>2203</v>
      </c>
    </row>
    <row r="343" spans="13:17" x14ac:dyDescent="0.25">
      <c r="M343" s="34">
        <v>151695</v>
      </c>
      <c r="N343" s="2" t="s">
        <v>323</v>
      </c>
      <c r="O343" s="2" t="s">
        <v>183</v>
      </c>
      <c r="P343" s="2" t="str">
        <f t="shared" si="8"/>
        <v>151695-OTROS-SUBCUENTA</v>
      </c>
      <c r="Q343" t="s">
        <v>2204</v>
      </c>
    </row>
    <row r="344" spans="13:17" x14ac:dyDescent="0.25">
      <c r="M344" s="34">
        <v>151699</v>
      </c>
      <c r="N344" s="2" t="s">
        <v>367</v>
      </c>
      <c r="O344" s="2" t="s">
        <v>183</v>
      </c>
      <c r="P344" s="2" t="str">
        <f t="shared" si="8"/>
        <v>151699-AJUSTES POR INFLACION-SUBCUENTA</v>
      </c>
      <c r="Q344" t="s">
        <v>2205</v>
      </c>
    </row>
    <row r="345" spans="13:17" x14ac:dyDescent="0.25">
      <c r="M345" s="34">
        <v>1520</v>
      </c>
      <c r="N345" s="2" t="s">
        <v>527</v>
      </c>
      <c r="O345" s="2" t="s">
        <v>182</v>
      </c>
      <c r="P345" s="2" t="str">
        <f t="shared" si="8"/>
        <v>1520-MAQUINARIA Y EQUIPO-CUENTA</v>
      </c>
      <c r="Q345" t="s">
        <v>2206</v>
      </c>
    </row>
    <row r="346" spans="13:17" x14ac:dyDescent="0.25">
      <c r="M346" s="34" t="s">
        <v>203</v>
      </c>
      <c r="N346" s="2" t="s">
        <v>188</v>
      </c>
      <c r="O346" s="2" t="s">
        <v>188</v>
      </c>
      <c r="P346" s="2" t="str">
        <f t="shared" si="8"/>
        <v xml:space="preserve">152001 a 152098 </v>
      </c>
      <c r="Q346" t="s">
        <v>2207</v>
      </c>
    </row>
    <row r="347" spans="13:17" x14ac:dyDescent="0.25">
      <c r="M347" s="34">
        <v>152099</v>
      </c>
      <c r="N347" s="2" t="s">
        <v>367</v>
      </c>
      <c r="O347" s="2" t="s">
        <v>183</v>
      </c>
      <c r="P347" s="2" t="str">
        <f t="shared" si="8"/>
        <v>152099-AJUSTES POR INFLACION-SUBCUENTA</v>
      </c>
      <c r="Q347" t="s">
        <v>2208</v>
      </c>
    </row>
    <row r="348" spans="13:17" x14ac:dyDescent="0.25">
      <c r="M348" s="34">
        <v>1524</v>
      </c>
      <c r="N348" s="2" t="s">
        <v>528</v>
      </c>
      <c r="O348" s="2" t="s">
        <v>182</v>
      </c>
      <c r="P348" s="2" t="str">
        <f t="shared" si="8"/>
        <v>1524-EQUIPO DE OFICINA-CUENTA</v>
      </c>
      <c r="Q348" t="s">
        <v>2209</v>
      </c>
    </row>
    <row r="349" spans="13:17" x14ac:dyDescent="0.25">
      <c r="M349" s="34">
        <v>152405</v>
      </c>
      <c r="N349" s="2" t="s">
        <v>554</v>
      </c>
      <c r="O349" s="2" t="s">
        <v>183</v>
      </c>
      <c r="P349" s="2" t="str">
        <f t="shared" si="8"/>
        <v>152405-MUEBLES Y ENSERES-SUBCUENTA</v>
      </c>
      <c r="Q349" t="s">
        <v>2210</v>
      </c>
    </row>
    <row r="350" spans="13:17" x14ac:dyDescent="0.25">
      <c r="M350" s="34">
        <v>152410</v>
      </c>
      <c r="N350" s="2" t="s">
        <v>555</v>
      </c>
      <c r="O350" s="2" t="s">
        <v>183</v>
      </c>
      <c r="P350" s="2" t="str">
        <f t="shared" si="8"/>
        <v>152410-EQUIPOS-SUBCUENTA</v>
      </c>
      <c r="Q350" t="s">
        <v>2211</v>
      </c>
    </row>
    <row r="351" spans="13:17" x14ac:dyDescent="0.25">
      <c r="M351" s="34">
        <v>152495</v>
      </c>
      <c r="N351" s="2" t="s">
        <v>323</v>
      </c>
      <c r="O351" s="2" t="s">
        <v>183</v>
      </c>
      <c r="P351" s="2" t="str">
        <f t="shared" si="8"/>
        <v>152495-OTROS-SUBCUENTA</v>
      </c>
      <c r="Q351" t="s">
        <v>2212</v>
      </c>
    </row>
    <row r="352" spans="13:17" x14ac:dyDescent="0.25">
      <c r="M352" s="34">
        <v>152499</v>
      </c>
      <c r="N352" s="2" t="s">
        <v>367</v>
      </c>
      <c r="O352" s="2" t="s">
        <v>183</v>
      </c>
      <c r="P352" s="2" t="str">
        <f t="shared" si="8"/>
        <v>152499-AJUSTES POR INFLACION-SUBCUENTA</v>
      </c>
      <c r="Q352" t="s">
        <v>2213</v>
      </c>
    </row>
    <row r="353" spans="13:17" x14ac:dyDescent="0.25">
      <c r="M353" s="34">
        <v>1528</v>
      </c>
      <c r="N353" s="2" t="s">
        <v>529</v>
      </c>
      <c r="O353" s="2" t="s">
        <v>182</v>
      </c>
      <c r="P353" s="2" t="str">
        <f t="shared" si="8"/>
        <v>1528-EQUIPO DE COMPUTACION Y COMUNICACION-CUENTA</v>
      </c>
      <c r="Q353" t="s">
        <v>2214</v>
      </c>
    </row>
    <row r="354" spans="13:17" x14ac:dyDescent="0.25">
      <c r="M354" s="34">
        <v>152805</v>
      </c>
      <c r="N354" s="2" t="s">
        <v>556</v>
      </c>
      <c r="O354" s="2" t="s">
        <v>183</v>
      </c>
      <c r="P354" s="2" t="str">
        <f t="shared" si="8"/>
        <v>152805-EQUIPOS DE PROCESAMIENTO DE DATOS-SUBCUENTA</v>
      </c>
      <c r="Q354" t="s">
        <v>2215</v>
      </c>
    </row>
    <row r="355" spans="13:17" x14ac:dyDescent="0.25">
      <c r="M355" s="34">
        <v>152810</v>
      </c>
      <c r="N355" s="2" t="s">
        <v>557</v>
      </c>
      <c r="O355" s="2" t="s">
        <v>183</v>
      </c>
      <c r="P355" s="2" t="str">
        <f t="shared" si="8"/>
        <v>152810-EQUIPOS DE TELECOMUNICACIONES-SUBCUENTA</v>
      </c>
      <c r="Q355" t="s">
        <v>2216</v>
      </c>
    </row>
    <row r="356" spans="13:17" x14ac:dyDescent="0.25">
      <c r="M356" s="34">
        <v>152815</v>
      </c>
      <c r="N356" s="2" t="s">
        <v>558</v>
      </c>
      <c r="O356" s="2" t="s">
        <v>183</v>
      </c>
      <c r="P356" s="2" t="str">
        <f t="shared" si="8"/>
        <v>152815-EQUIPOS DE RADIO-SUBCUENTA</v>
      </c>
      <c r="Q356" t="s">
        <v>2217</v>
      </c>
    </row>
    <row r="357" spans="13:17" x14ac:dyDescent="0.25">
      <c r="M357" s="34">
        <v>152820</v>
      </c>
      <c r="N357" s="2" t="s">
        <v>559</v>
      </c>
      <c r="O357" s="2" t="s">
        <v>183</v>
      </c>
      <c r="P357" s="2" t="str">
        <f t="shared" si="8"/>
        <v>152820-SATELITES Y ANTENAS-SUBCUENTA</v>
      </c>
      <c r="Q357" t="s">
        <v>2218</v>
      </c>
    </row>
    <row r="358" spans="13:17" x14ac:dyDescent="0.25">
      <c r="M358" s="34">
        <v>152825</v>
      </c>
      <c r="N358" s="2" t="s">
        <v>560</v>
      </c>
      <c r="O358" s="2" t="s">
        <v>183</v>
      </c>
      <c r="P358" s="2" t="str">
        <f t="shared" si="8"/>
        <v>152825-LINEAS TELEFONICAS-SUBCUENTA</v>
      </c>
      <c r="Q358" t="s">
        <v>2219</v>
      </c>
    </row>
    <row r="359" spans="13:17" x14ac:dyDescent="0.25">
      <c r="M359" s="34">
        <v>152895</v>
      </c>
      <c r="N359" s="2" t="s">
        <v>323</v>
      </c>
      <c r="O359" s="2" t="s">
        <v>183</v>
      </c>
      <c r="P359" s="2" t="str">
        <f t="shared" si="8"/>
        <v>152895-OTROS-SUBCUENTA</v>
      </c>
      <c r="Q359" t="s">
        <v>2220</v>
      </c>
    </row>
    <row r="360" spans="13:17" x14ac:dyDescent="0.25">
      <c r="M360" s="34">
        <v>152899</v>
      </c>
      <c r="N360" s="2" t="s">
        <v>367</v>
      </c>
      <c r="O360" s="2" t="s">
        <v>183</v>
      </c>
      <c r="P360" s="2" t="str">
        <f t="shared" si="8"/>
        <v>152899-AJUSTES POR INFLACION-SUBCUENTA</v>
      </c>
      <c r="Q360" t="s">
        <v>2221</v>
      </c>
    </row>
    <row r="361" spans="13:17" x14ac:dyDescent="0.25">
      <c r="M361" s="34">
        <v>1532</v>
      </c>
      <c r="N361" s="2" t="s">
        <v>561</v>
      </c>
      <c r="O361" s="2" t="s">
        <v>182</v>
      </c>
      <c r="P361" s="2" t="str">
        <f t="shared" si="8"/>
        <v>1532-EQUIPO MEDICO - CIENTIFICO-CUENTA</v>
      </c>
      <c r="Q361" t="s">
        <v>2222</v>
      </c>
    </row>
    <row r="362" spans="13:17" x14ac:dyDescent="0.25">
      <c r="M362" s="34">
        <v>153205</v>
      </c>
      <c r="N362" s="2" t="s">
        <v>562</v>
      </c>
      <c r="O362" s="2" t="s">
        <v>183</v>
      </c>
      <c r="P362" s="2" t="str">
        <f t="shared" si="8"/>
        <v>153205-MEDICO-SUBCUENTA</v>
      </c>
      <c r="Q362" t="s">
        <v>2223</v>
      </c>
    </row>
    <row r="363" spans="13:17" x14ac:dyDescent="0.25">
      <c r="M363" s="34">
        <v>153210</v>
      </c>
      <c r="N363" s="2" t="s">
        <v>563</v>
      </c>
      <c r="O363" s="2" t="s">
        <v>183</v>
      </c>
      <c r="P363" s="2" t="str">
        <f t="shared" si="8"/>
        <v>153210-ODONTOLOGICO-SUBCUENTA</v>
      </c>
      <c r="Q363" t="s">
        <v>2224</v>
      </c>
    </row>
    <row r="364" spans="13:17" x14ac:dyDescent="0.25">
      <c r="M364" s="34">
        <v>153215</v>
      </c>
      <c r="N364" s="2" t="s">
        <v>564</v>
      </c>
      <c r="O364" s="2" t="s">
        <v>183</v>
      </c>
      <c r="P364" s="2" t="str">
        <f t="shared" si="8"/>
        <v>153215-LABORATORIO-SUBCUENTA</v>
      </c>
      <c r="Q364" t="s">
        <v>2225</v>
      </c>
    </row>
    <row r="365" spans="13:17" x14ac:dyDescent="0.25">
      <c r="M365" s="34">
        <v>153220</v>
      </c>
      <c r="N365" s="2" t="s">
        <v>565</v>
      </c>
      <c r="O365" s="2" t="s">
        <v>183</v>
      </c>
      <c r="P365" s="2" t="str">
        <f t="shared" si="8"/>
        <v>153220-INSTRUMENTAL-SUBCUENTA</v>
      </c>
      <c r="Q365" t="s">
        <v>2226</v>
      </c>
    </row>
    <row r="366" spans="13:17" x14ac:dyDescent="0.25">
      <c r="M366" s="34">
        <v>153295</v>
      </c>
      <c r="N366" s="2" t="s">
        <v>323</v>
      </c>
      <c r="O366" s="2" t="s">
        <v>183</v>
      </c>
      <c r="P366" s="2" t="str">
        <f t="shared" si="8"/>
        <v>153295-OTROS-SUBCUENTA</v>
      </c>
      <c r="Q366" t="s">
        <v>2227</v>
      </c>
    </row>
    <row r="367" spans="13:17" x14ac:dyDescent="0.25">
      <c r="M367" s="34">
        <v>153299</v>
      </c>
      <c r="N367" s="2" t="s">
        <v>367</v>
      </c>
      <c r="O367" s="2" t="s">
        <v>183</v>
      </c>
      <c r="P367" s="2" t="str">
        <f t="shared" si="8"/>
        <v>153299-AJUSTES POR INFLACION-SUBCUENTA</v>
      </c>
      <c r="Q367" t="s">
        <v>2228</v>
      </c>
    </row>
    <row r="368" spans="13:17" x14ac:dyDescent="0.25">
      <c r="M368" s="34">
        <v>1536</v>
      </c>
      <c r="N368" s="2" t="s">
        <v>531</v>
      </c>
      <c r="O368" s="2" t="s">
        <v>182</v>
      </c>
      <c r="P368" s="2" t="str">
        <f t="shared" si="8"/>
        <v>1536-EQUIPO DE HOTELES Y RESTAURANTES-CUENTA</v>
      </c>
      <c r="Q368" t="s">
        <v>2229</v>
      </c>
    </row>
    <row r="369" spans="13:17" x14ac:dyDescent="0.25">
      <c r="M369" s="34">
        <v>153605</v>
      </c>
      <c r="N369" s="2" t="s">
        <v>566</v>
      </c>
      <c r="O369" s="2" t="s">
        <v>183</v>
      </c>
      <c r="P369" s="2" t="str">
        <f t="shared" si="8"/>
        <v>153605-DE HABITACIONES-SUBCUENTA</v>
      </c>
      <c r="Q369" t="s">
        <v>2230</v>
      </c>
    </row>
    <row r="370" spans="13:17" x14ac:dyDescent="0.25">
      <c r="M370" s="34">
        <v>153610</v>
      </c>
      <c r="N370" s="2" t="s">
        <v>567</v>
      </c>
      <c r="O370" s="2" t="s">
        <v>183</v>
      </c>
      <c r="P370" s="2" t="str">
        <f t="shared" si="8"/>
        <v>153610-DE COMESTIBLES Y BEBIDAS-SUBCUENTA</v>
      </c>
      <c r="Q370" t="s">
        <v>2231</v>
      </c>
    </row>
    <row r="371" spans="13:17" x14ac:dyDescent="0.25">
      <c r="M371" s="34">
        <v>153695</v>
      </c>
      <c r="N371" s="2" t="s">
        <v>323</v>
      </c>
      <c r="O371" s="2" t="s">
        <v>183</v>
      </c>
      <c r="P371" s="2" t="str">
        <f t="shared" si="8"/>
        <v>153695-OTROS-SUBCUENTA</v>
      </c>
      <c r="Q371" t="s">
        <v>2232</v>
      </c>
    </row>
    <row r="372" spans="13:17" x14ac:dyDescent="0.25">
      <c r="M372" s="34">
        <v>153699</v>
      </c>
      <c r="N372" s="2" t="s">
        <v>367</v>
      </c>
      <c r="O372" s="2" t="s">
        <v>183</v>
      </c>
      <c r="P372" s="2" t="str">
        <f t="shared" si="8"/>
        <v>153699-AJUSTES POR INFLACION-SUBCUENTA</v>
      </c>
      <c r="Q372" t="s">
        <v>2233</v>
      </c>
    </row>
    <row r="373" spans="13:17" x14ac:dyDescent="0.25">
      <c r="M373" s="34">
        <v>1540</v>
      </c>
      <c r="N373" s="2" t="s">
        <v>532</v>
      </c>
      <c r="O373" s="2" t="s">
        <v>182</v>
      </c>
      <c r="P373" s="2" t="str">
        <f t="shared" si="8"/>
        <v>1540-FLOTA Y EQUIPO DE TRANSPORTE-CUENTA</v>
      </c>
      <c r="Q373" t="s">
        <v>2234</v>
      </c>
    </row>
    <row r="374" spans="13:17" x14ac:dyDescent="0.25">
      <c r="M374" s="34">
        <v>154005</v>
      </c>
      <c r="N374" s="2" t="s">
        <v>568</v>
      </c>
      <c r="O374" s="2" t="s">
        <v>183</v>
      </c>
      <c r="P374" s="2" t="str">
        <f t="shared" si="8"/>
        <v>154005-AUTOS, CAMIONETAS Y CAMPEROS-SUBCUENTA</v>
      </c>
      <c r="Q374" t="s">
        <v>2235</v>
      </c>
    </row>
    <row r="375" spans="13:17" x14ac:dyDescent="0.25">
      <c r="M375" s="34">
        <v>154008</v>
      </c>
      <c r="N375" s="2" t="s">
        <v>569</v>
      </c>
      <c r="O375" s="2" t="s">
        <v>183</v>
      </c>
      <c r="P375" s="2" t="str">
        <f t="shared" si="8"/>
        <v>154008-CAMIONES, VOLQUETAS Y FURGONES-SUBCUENTA</v>
      </c>
      <c r="Q375" t="s">
        <v>2236</v>
      </c>
    </row>
    <row r="376" spans="13:17" x14ac:dyDescent="0.25">
      <c r="M376" s="34">
        <v>154010</v>
      </c>
      <c r="N376" s="2" t="s">
        <v>570</v>
      </c>
      <c r="O376" s="2" t="s">
        <v>183</v>
      </c>
      <c r="P376" s="2" t="str">
        <f t="shared" si="8"/>
        <v>154010-TRACTOMULAS Y REMOLQUES-SUBCUENTA</v>
      </c>
      <c r="Q376" t="s">
        <v>2237</v>
      </c>
    </row>
    <row r="377" spans="13:17" x14ac:dyDescent="0.25">
      <c r="M377" s="34">
        <v>154015</v>
      </c>
      <c r="N377" s="2" t="s">
        <v>571</v>
      </c>
      <c r="O377" s="2" t="s">
        <v>183</v>
      </c>
      <c r="P377" s="2" t="str">
        <f t="shared" si="8"/>
        <v>154015-BUSES Y BUSETAS-SUBCUENTA</v>
      </c>
      <c r="Q377" t="s">
        <v>2238</v>
      </c>
    </row>
    <row r="378" spans="13:17" x14ac:dyDescent="0.25">
      <c r="M378" s="34">
        <v>154017</v>
      </c>
      <c r="N378" s="2" t="s">
        <v>572</v>
      </c>
      <c r="O378" s="2" t="s">
        <v>183</v>
      </c>
      <c r="P378" s="2" t="str">
        <f t="shared" si="8"/>
        <v>154017-RECOLECTORES Y CONTENEDORES-SUBCUENTA</v>
      </c>
      <c r="Q378" t="s">
        <v>2239</v>
      </c>
    </row>
    <row r="379" spans="13:17" x14ac:dyDescent="0.25">
      <c r="M379" s="34">
        <v>154020</v>
      </c>
      <c r="N379" s="2" t="s">
        <v>573</v>
      </c>
      <c r="O379" s="2" t="s">
        <v>183</v>
      </c>
      <c r="P379" s="2" t="str">
        <f t="shared" si="8"/>
        <v>154020-MONTACARGAS-SUBCUENTA</v>
      </c>
      <c r="Q379" t="s">
        <v>2240</v>
      </c>
    </row>
    <row r="380" spans="13:17" x14ac:dyDescent="0.25">
      <c r="M380" s="34">
        <v>154025</v>
      </c>
      <c r="N380" s="2" t="s">
        <v>574</v>
      </c>
      <c r="O380" s="2" t="s">
        <v>183</v>
      </c>
      <c r="P380" s="2" t="str">
        <f t="shared" si="8"/>
        <v>154025-PALAS Y GRUAS-SUBCUENTA</v>
      </c>
      <c r="Q380" t="s">
        <v>1559</v>
      </c>
    </row>
    <row r="381" spans="13:17" x14ac:dyDescent="0.25">
      <c r="M381" s="34">
        <v>154030</v>
      </c>
      <c r="N381" s="2" t="s">
        <v>575</v>
      </c>
      <c r="O381" s="2" t="s">
        <v>183</v>
      </c>
      <c r="P381" s="2" t="str">
        <f t="shared" si="8"/>
        <v>154030-MOTOCICLETAS-SUBCUENTA</v>
      </c>
      <c r="Q381" t="s">
        <v>2241</v>
      </c>
    </row>
    <row r="382" spans="13:17" x14ac:dyDescent="0.25">
      <c r="M382" s="34">
        <v>154035</v>
      </c>
      <c r="N382" s="2" t="s">
        <v>576</v>
      </c>
      <c r="O382" s="2" t="s">
        <v>183</v>
      </c>
      <c r="P382" s="2" t="str">
        <f t="shared" si="8"/>
        <v>154035-BICICLETAS-SUBCUENTA</v>
      </c>
      <c r="Q382" t="s">
        <v>2242</v>
      </c>
    </row>
    <row r="383" spans="13:17" x14ac:dyDescent="0.25">
      <c r="M383" s="34">
        <v>154040</v>
      </c>
      <c r="N383" s="2" t="s">
        <v>577</v>
      </c>
      <c r="O383" s="2" t="s">
        <v>183</v>
      </c>
      <c r="P383" s="2" t="str">
        <f t="shared" si="8"/>
        <v>154040-ESTIBAS Y CARRETAS-SUBCUENTA</v>
      </c>
      <c r="Q383" t="s">
        <v>2243</v>
      </c>
    </row>
    <row r="384" spans="13:17" x14ac:dyDescent="0.25">
      <c r="M384" s="34">
        <v>154045</v>
      </c>
      <c r="N384" s="2" t="s">
        <v>578</v>
      </c>
      <c r="O384" s="2" t="s">
        <v>183</v>
      </c>
      <c r="P384" s="2" t="str">
        <f t="shared" si="8"/>
        <v>154045-BANDAS TRANSPORTADORAS-SUBCUENTA</v>
      </c>
      <c r="Q384" t="s">
        <v>2244</v>
      </c>
    </row>
    <row r="385" spans="13:17" x14ac:dyDescent="0.25">
      <c r="M385" s="34">
        <v>154095</v>
      </c>
      <c r="N385" s="2" t="s">
        <v>323</v>
      </c>
      <c r="O385" s="2" t="s">
        <v>183</v>
      </c>
      <c r="P385" s="2" t="str">
        <f t="shared" si="8"/>
        <v>154095-OTROS-SUBCUENTA</v>
      </c>
      <c r="Q385" t="s">
        <v>2245</v>
      </c>
    </row>
    <row r="386" spans="13:17" x14ac:dyDescent="0.25">
      <c r="M386" s="34">
        <v>154099</v>
      </c>
      <c r="N386" s="2" t="s">
        <v>367</v>
      </c>
      <c r="O386" s="2" t="s">
        <v>183</v>
      </c>
      <c r="P386" s="2" t="str">
        <f t="shared" si="8"/>
        <v>154099-AJUSTES POR INFLACION-SUBCUENTA</v>
      </c>
      <c r="Q386" t="s">
        <v>2246</v>
      </c>
    </row>
    <row r="387" spans="13:17" x14ac:dyDescent="0.25">
      <c r="M387" s="34">
        <v>1544</v>
      </c>
      <c r="N387" s="2" t="s">
        <v>533</v>
      </c>
      <c r="O387" s="2" t="s">
        <v>182</v>
      </c>
      <c r="P387" s="2" t="str">
        <f t="shared" si="8"/>
        <v>1544-FLOTA Y EQUIPO FLUVIAL Y/O MARITIMO-CUENTA</v>
      </c>
      <c r="Q387" t="s">
        <v>2247</v>
      </c>
    </row>
    <row r="388" spans="13:17" x14ac:dyDescent="0.25">
      <c r="M388" s="34">
        <v>154405</v>
      </c>
      <c r="N388" s="2" t="s">
        <v>579</v>
      </c>
      <c r="O388" s="2" t="s">
        <v>183</v>
      </c>
      <c r="P388" s="2" t="str">
        <f t="shared" ref="P388:P451" si="9">IF(AND(M388&lt;&gt;"",N388&lt;&gt;"",O388&lt;&gt;""),M388&amp;"-"&amp;N388&amp;"-"&amp;O388,IF(AND(M388="",N388&lt;&gt;"",O388&lt;&gt;""),N388&amp;"-"&amp;O388,IF(AND(M388&lt;&gt;"",N388="",O388&lt;&gt;""),M388&amp;"-"&amp;O388,IF(AND(M388&lt;&gt;"",N388&lt;&gt;"",O388=""),M388&amp;"-"&amp;N388,IF(AND(M388&lt;&gt;"",N388="",O388=""),M388,"")))))</f>
        <v>154405-BUQUES-SUBCUENTA</v>
      </c>
      <c r="Q388" t="s">
        <v>2248</v>
      </c>
    </row>
    <row r="389" spans="13:17" x14ac:dyDescent="0.25">
      <c r="M389" s="34">
        <v>154410</v>
      </c>
      <c r="N389" s="2" t="s">
        <v>580</v>
      </c>
      <c r="O389" s="2" t="s">
        <v>183</v>
      </c>
      <c r="P389" s="2" t="str">
        <f t="shared" si="9"/>
        <v>154410-LANCHAS-SUBCUENTA</v>
      </c>
      <c r="Q389" t="s">
        <v>2249</v>
      </c>
    </row>
    <row r="390" spans="13:17" x14ac:dyDescent="0.25">
      <c r="M390" s="34">
        <v>154415</v>
      </c>
      <c r="N390" s="2" t="s">
        <v>581</v>
      </c>
      <c r="O390" s="2" t="s">
        <v>183</v>
      </c>
      <c r="P390" s="2" t="str">
        <f t="shared" si="9"/>
        <v>154415-REMOLCADORAS-SUBCUENTA</v>
      </c>
      <c r="Q390" t="s">
        <v>2250</v>
      </c>
    </row>
    <row r="391" spans="13:17" x14ac:dyDescent="0.25">
      <c r="M391" s="34">
        <v>154420</v>
      </c>
      <c r="N391" s="2" t="s">
        <v>582</v>
      </c>
      <c r="O391" s="2" t="s">
        <v>183</v>
      </c>
      <c r="P391" s="2" t="str">
        <f t="shared" si="9"/>
        <v>154420-BOTES-SUBCUENTA</v>
      </c>
      <c r="Q391" t="s">
        <v>2251</v>
      </c>
    </row>
    <row r="392" spans="13:17" x14ac:dyDescent="0.25">
      <c r="M392" s="34">
        <v>154425</v>
      </c>
      <c r="N392" s="2" t="s">
        <v>583</v>
      </c>
      <c r="O392" s="2" t="s">
        <v>183</v>
      </c>
      <c r="P392" s="2" t="str">
        <f t="shared" si="9"/>
        <v>154425-BOYAS-SUBCUENTA</v>
      </c>
      <c r="Q392" t="s">
        <v>2252</v>
      </c>
    </row>
    <row r="393" spans="13:17" x14ac:dyDescent="0.25">
      <c r="M393" s="34">
        <v>154430</v>
      </c>
      <c r="N393" s="2" t="s">
        <v>584</v>
      </c>
      <c r="O393" s="2" t="s">
        <v>183</v>
      </c>
      <c r="P393" s="2" t="str">
        <f t="shared" si="9"/>
        <v>154430-AMARRES-SUBCUENTA</v>
      </c>
      <c r="Q393" t="s">
        <v>2253</v>
      </c>
    </row>
    <row r="394" spans="13:17" x14ac:dyDescent="0.25">
      <c r="M394" s="34">
        <v>154435</v>
      </c>
      <c r="N394" s="2" t="s">
        <v>585</v>
      </c>
      <c r="O394" s="2" t="s">
        <v>183</v>
      </c>
      <c r="P394" s="2" t="str">
        <f t="shared" si="9"/>
        <v>154435-CONTENEDORES Y CHASSISES-SUBCUENTA</v>
      </c>
      <c r="Q394" t="s">
        <v>2254</v>
      </c>
    </row>
    <row r="395" spans="13:17" x14ac:dyDescent="0.25">
      <c r="M395" s="34">
        <v>154440</v>
      </c>
      <c r="N395" s="2" t="s">
        <v>586</v>
      </c>
      <c r="O395" s="2" t="s">
        <v>183</v>
      </c>
      <c r="P395" s="2" t="str">
        <f t="shared" si="9"/>
        <v>154440-GABARRAS-SUBCUENTA</v>
      </c>
      <c r="Q395" t="s">
        <v>2255</v>
      </c>
    </row>
    <row r="396" spans="13:17" x14ac:dyDescent="0.25">
      <c r="M396" s="34">
        <v>154495</v>
      </c>
      <c r="N396" s="2" t="s">
        <v>323</v>
      </c>
      <c r="O396" s="2" t="s">
        <v>183</v>
      </c>
      <c r="P396" s="2" t="str">
        <f t="shared" si="9"/>
        <v>154495-OTROS-SUBCUENTA</v>
      </c>
      <c r="Q396" t="s">
        <v>2256</v>
      </c>
    </row>
    <row r="397" spans="13:17" x14ac:dyDescent="0.25">
      <c r="M397" s="34">
        <v>154499</v>
      </c>
      <c r="N397" s="2" t="s">
        <v>367</v>
      </c>
      <c r="O397" s="2" t="s">
        <v>183</v>
      </c>
      <c r="P397" s="2" t="str">
        <f t="shared" si="9"/>
        <v>154499-AJUSTES POR INFLACION-SUBCUENTA</v>
      </c>
      <c r="Q397" t="s">
        <v>2257</v>
      </c>
    </row>
    <row r="398" spans="13:17" x14ac:dyDescent="0.25">
      <c r="M398" s="34">
        <v>1548</v>
      </c>
      <c r="N398" s="2" t="s">
        <v>534</v>
      </c>
      <c r="O398" s="2" t="s">
        <v>182</v>
      </c>
      <c r="P398" s="2" t="str">
        <f t="shared" si="9"/>
        <v>1548-FLOTA Y EQUIPO AEREO-CUENTA</v>
      </c>
      <c r="Q398" t="s">
        <v>2258</v>
      </c>
    </row>
    <row r="399" spans="13:17" x14ac:dyDescent="0.25">
      <c r="M399" s="34">
        <v>154805</v>
      </c>
      <c r="N399" s="2" t="s">
        <v>587</v>
      </c>
      <c r="O399" s="2" t="s">
        <v>183</v>
      </c>
      <c r="P399" s="2" t="str">
        <f t="shared" si="9"/>
        <v>154805-AVIONES-SUBCUENTA</v>
      </c>
      <c r="Q399" t="s">
        <v>2259</v>
      </c>
    </row>
    <row r="400" spans="13:17" x14ac:dyDescent="0.25">
      <c r="M400" s="34">
        <v>154810</v>
      </c>
      <c r="N400" s="2" t="s">
        <v>588</v>
      </c>
      <c r="O400" s="2" t="s">
        <v>183</v>
      </c>
      <c r="P400" s="2" t="str">
        <f t="shared" si="9"/>
        <v>154810-AVIONETAS-SUBCUENTA</v>
      </c>
      <c r="Q400" t="s">
        <v>2260</v>
      </c>
    </row>
    <row r="401" spans="13:17" x14ac:dyDescent="0.25">
      <c r="M401" s="34">
        <v>154815</v>
      </c>
      <c r="N401" s="2" t="s">
        <v>589</v>
      </c>
      <c r="O401" s="2" t="s">
        <v>183</v>
      </c>
      <c r="P401" s="2" t="str">
        <f t="shared" si="9"/>
        <v>154815-HELICOPTEROS-SUBCUENTA</v>
      </c>
      <c r="Q401" t="s">
        <v>2261</v>
      </c>
    </row>
    <row r="402" spans="13:17" x14ac:dyDescent="0.25">
      <c r="M402" s="34">
        <v>154820</v>
      </c>
      <c r="N402" s="2" t="s">
        <v>590</v>
      </c>
      <c r="O402" s="2" t="s">
        <v>183</v>
      </c>
      <c r="P402" s="2" t="str">
        <f t="shared" si="9"/>
        <v>154820-TURBINAS Y MOTORES-SUBCUENTA</v>
      </c>
      <c r="Q402" t="s">
        <v>2262</v>
      </c>
    </row>
    <row r="403" spans="13:17" x14ac:dyDescent="0.25">
      <c r="M403" s="34">
        <v>154825</v>
      </c>
      <c r="N403" s="2" t="s">
        <v>591</v>
      </c>
      <c r="O403" s="2" t="s">
        <v>183</v>
      </c>
      <c r="P403" s="2" t="str">
        <f t="shared" si="9"/>
        <v>154825-MANUALES DE ENTRENAMIENTO PERSONAL TECNICO-SUBCUENTA</v>
      </c>
      <c r="Q403" t="s">
        <v>2263</v>
      </c>
    </row>
    <row r="404" spans="13:17" x14ac:dyDescent="0.25">
      <c r="M404" s="34">
        <v>154830</v>
      </c>
      <c r="N404" s="2" t="s">
        <v>592</v>
      </c>
      <c r="O404" s="2" t="s">
        <v>183</v>
      </c>
      <c r="P404" s="2" t="str">
        <f t="shared" si="9"/>
        <v>154830-EQUIPOS DE VUELO-SUBCUENTA</v>
      </c>
      <c r="Q404" t="s">
        <v>2264</v>
      </c>
    </row>
    <row r="405" spans="13:17" x14ac:dyDescent="0.25">
      <c r="M405" s="34">
        <v>154895</v>
      </c>
      <c r="N405" s="2" t="s">
        <v>323</v>
      </c>
      <c r="O405" s="2" t="s">
        <v>183</v>
      </c>
      <c r="P405" s="2" t="str">
        <f t="shared" si="9"/>
        <v>154895-OTROS-SUBCUENTA</v>
      </c>
      <c r="Q405" t="s">
        <v>2265</v>
      </c>
    </row>
    <row r="406" spans="13:17" x14ac:dyDescent="0.25">
      <c r="M406" s="34">
        <v>154899</v>
      </c>
      <c r="N406" s="2" t="s">
        <v>367</v>
      </c>
      <c r="O406" s="2" t="s">
        <v>183</v>
      </c>
      <c r="P406" s="2" t="str">
        <f t="shared" si="9"/>
        <v>154899-AJUSTES POR INFLACION-SUBCUENTA</v>
      </c>
      <c r="Q406" t="s">
        <v>2266</v>
      </c>
    </row>
    <row r="407" spans="13:17" x14ac:dyDescent="0.25">
      <c r="M407" s="34">
        <v>1552</v>
      </c>
      <c r="N407" s="2" t="s">
        <v>535</v>
      </c>
      <c r="O407" s="2" t="s">
        <v>182</v>
      </c>
      <c r="P407" s="2" t="str">
        <f t="shared" si="9"/>
        <v>1552-FLOTA Y EQUIPO FERREO-CUENTA</v>
      </c>
      <c r="Q407" t="s">
        <v>2267</v>
      </c>
    </row>
    <row r="408" spans="13:17" x14ac:dyDescent="0.25">
      <c r="M408" s="34">
        <v>155205</v>
      </c>
      <c r="N408" s="2" t="s">
        <v>593</v>
      </c>
      <c r="O408" s="2" t="s">
        <v>183</v>
      </c>
      <c r="P408" s="2" t="str">
        <f t="shared" si="9"/>
        <v>155205-LOCOMOTORAS-SUBCUENTA</v>
      </c>
      <c r="Q408" t="s">
        <v>2268</v>
      </c>
    </row>
    <row r="409" spans="13:17" x14ac:dyDescent="0.25">
      <c r="M409" s="34">
        <v>155210</v>
      </c>
      <c r="N409" s="2" t="s">
        <v>594</v>
      </c>
      <c r="O409" s="2" t="s">
        <v>183</v>
      </c>
      <c r="P409" s="2" t="str">
        <f t="shared" si="9"/>
        <v>155210-VAGONES-SUBCUENTA</v>
      </c>
      <c r="Q409" t="s">
        <v>2269</v>
      </c>
    </row>
    <row r="410" spans="13:17" x14ac:dyDescent="0.25">
      <c r="M410" s="34">
        <v>155215</v>
      </c>
      <c r="N410" s="2" t="s">
        <v>595</v>
      </c>
      <c r="O410" s="2" t="s">
        <v>183</v>
      </c>
      <c r="P410" s="2" t="str">
        <f t="shared" si="9"/>
        <v>155215-REDES FERREAS-SUBCUENTA</v>
      </c>
      <c r="Q410" t="s">
        <v>2270</v>
      </c>
    </row>
    <row r="411" spans="13:17" x14ac:dyDescent="0.25">
      <c r="M411" s="34">
        <v>155295</v>
      </c>
      <c r="N411" s="2" t="s">
        <v>323</v>
      </c>
      <c r="O411" s="2" t="s">
        <v>183</v>
      </c>
      <c r="P411" s="2" t="str">
        <f t="shared" si="9"/>
        <v>155295-OTROS-SUBCUENTA</v>
      </c>
      <c r="Q411" t="s">
        <v>2271</v>
      </c>
    </row>
    <row r="412" spans="13:17" x14ac:dyDescent="0.25">
      <c r="M412" s="34">
        <v>155299</v>
      </c>
      <c r="N412" s="2" t="s">
        <v>367</v>
      </c>
      <c r="O412" s="2" t="s">
        <v>183</v>
      </c>
      <c r="P412" s="2" t="str">
        <f t="shared" si="9"/>
        <v>155299-AJUSTES POR INFLACION-SUBCUENTA</v>
      </c>
      <c r="Q412" t="s">
        <v>2272</v>
      </c>
    </row>
    <row r="413" spans="13:17" x14ac:dyDescent="0.25">
      <c r="M413" s="34">
        <v>1556</v>
      </c>
      <c r="N413" s="2" t="s">
        <v>521</v>
      </c>
      <c r="O413" s="2" t="s">
        <v>182</v>
      </c>
      <c r="P413" s="2" t="str">
        <f t="shared" si="9"/>
        <v>1556-ACUEDUCTOS PLANTAS Y REDES-CUENTA</v>
      </c>
      <c r="Q413" t="s">
        <v>2273</v>
      </c>
    </row>
    <row r="414" spans="13:17" x14ac:dyDescent="0.25">
      <c r="M414" s="34">
        <v>155605</v>
      </c>
      <c r="N414" s="2" t="s">
        <v>596</v>
      </c>
      <c r="O414" s="2" t="s">
        <v>183</v>
      </c>
      <c r="P414" s="2" t="str">
        <f t="shared" si="9"/>
        <v>155605-INSTALACIONES PARA AGUA Y ENERGIA-SUBCUENTA</v>
      </c>
      <c r="Q414" t="s">
        <v>2274</v>
      </c>
    </row>
    <row r="415" spans="13:17" x14ac:dyDescent="0.25">
      <c r="M415" s="34">
        <v>155610</v>
      </c>
      <c r="N415" s="2" t="s">
        <v>597</v>
      </c>
      <c r="O415" s="2" t="s">
        <v>183</v>
      </c>
      <c r="P415" s="2" t="str">
        <f t="shared" si="9"/>
        <v>155610-ACUEDUCTO ACEQUIAS Y CANALIZACIONES-SUBCUENTA</v>
      </c>
      <c r="Q415" t="s">
        <v>2275</v>
      </c>
    </row>
    <row r="416" spans="13:17" x14ac:dyDescent="0.25">
      <c r="M416" s="34">
        <v>155615</v>
      </c>
      <c r="N416" s="2" t="s">
        <v>598</v>
      </c>
      <c r="O416" s="2" t="s">
        <v>183</v>
      </c>
      <c r="P416" s="2" t="str">
        <f t="shared" si="9"/>
        <v>155615-PLANTAS DE GENERACION HIDRAULICA-SUBCUENTA</v>
      </c>
      <c r="Q416" t="s">
        <v>2276</v>
      </c>
    </row>
    <row r="417" spans="13:17" x14ac:dyDescent="0.25">
      <c r="M417" s="34">
        <v>155620</v>
      </c>
      <c r="N417" s="2" t="s">
        <v>599</v>
      </c>
      <c r="O417" s="2" t="s">
        <v>183</v>
      </c>
      <c r="P417" s="2" t="str">
        <f t="shared" si="9"/>
        <v>155620-PLANTAS DE GENERACION TERMICA-SUBCUENTA</v>
      </c>
      <c r="Q417" t="s">
        <v>2277</v>
      </c>
    </row>
    <row r="418" spans="13:17" x14ac:dyDescent="0.25">
      <c r="M418" s="34">
        <v>155625</v>
      </c>
      <c r="N418" s="2" t="s">
        <v>600</v>
      </c>
      <c r="O418" s="2" t="s">
        <v>183</v>
      </c>
      <c r="P418" s="2" t="str">
        <f t="shared" si="9"/>
        <v>155625-PLANTAS DE GENERACION A GAS-SUBCUENTA</v>
      </c>
      <c r="Q418" t="s">
        <v>2278</v>
      </c>
    </row>
    <row r="419" spans="13:17" x14ac:dyDescent="0.25">
      <c r="M419" s="34">
        <v>155628</v>
      </c>
      <c r="N419" s="2" t="s">
        <v>601</v>
      </c>
      <c r="O419" s="2" t="s">
        <v>183</v>
      </c>
      <c r="P419" s="2" t="str">
        <f t="shared" si="9"/>
        <v>155628-PLANTAS DE GENERACION DIESEL, GASOLINA Y PETROLEO-SUBCUENTA</v>
      </c>
      <c r="Q419" t="s">
        <v>2279</v>
      </c>
    </row>
    <row r="420" spans="13:17" x14ac:dyDescent="0.25">
      <c r="M420" s="34">
        <v>155630</v>
      </c>
      <c r="N420" s="2" t="s">
        <v>602</v>
      </c>
      <c r="O420" s="2" t="s">
        <v>183</v>
      </c>
      <c r="P420" s="2" t="str">
        <f t="shared" si="9"/>
        <v>155630-PLANTAS DE DISTRIBUCION-SUBCUENTA</v>
      </c>
      <c r="Q420" t="s">
        <v>2280</v>
      </c>
    </row>
    <row r="421" spans="13:17" x14ac:dyDescent="0.25">
      <c r="M421" s="34">
        <v>155635</v>
      </c>
      <c r="N421" s="2" t="s">
        <v>603</v>
      </c>
      <c r="O421" s="2" t="s">
        <v>183</v>
      </c>
      <c r="P421" s="2" t="str">
        <f t="shared" si="9"/>
        <v>155635-PLANTAS DE TRANSMISION Y SUBESTACIONES-SUBCUENTA</v>
      </c>
      <c r="Q421" t="s">
        <v>2281</v>
      </c>
    </row>
    <row r="422" spans="13:17" x14ac:dyDescent="0.25">
      <c r="M422" s="34">
        <v>155640</v>
      </c>
      <c r="N422" s="2" t="s">
        <v>604</v>
      </c>
      <c r="O422" s="2" t="s">
        <v>183</v>
      </c>
      <c r="P422" s="2" t="str">
        <f t="shared" si="9"/>
        <v>155640-OLEODUCTOS-SUBCUENTA</v>
      </c>
      <c r="Q422" t="s">
        <v>2282</v>
      </c>
    </row>
    <row r="423" spans="13:17" x14ac:dyDescent="0.25">
      <c r="M423" s="34">
        <v>155645</v>
      </c>
      <c r="N423" s="2" t="s">
        <v>605</v>
      </c>
      <c r="O423" s="2" t="s">
        <v>183</v>
      </c>
      <c r="P423" s="2" t="str">
        <f t="shared" si="9"/>
        <v>155645-GASODUCTOS-SUBCUENTA</v>
      </c>
      <c r="Q423" t="s">
        <v>2283</v>
      </c>
    </row>
    <row r="424" spans="13:17" x14ac:dyDescent="0.25">
      <c r="M424" s="34">
        <v>155647</v>
      </c>
      <c r="N424" s="2" t="s">
        <v>606</v>
      </c>
      <c r="O424" s="2" t="s">
        <v>183</v>
      </c>
      <c r="P424" s="2" t="str">
        <f t="shared" si="9"/>
        <v>155647-POLIDUCTOS-SUBCUENTA</v>
      </c>
      <c r="Q424" t="s">
        <v>2284</v>
      </c>
    </row>
    <row r="425" spans="13:17" x14ac:dyDescent="0.25">
      <c r="M425" s="34">
        <v>155650</v>
      </c>
      <c r="N425" s="2" t="s">
        <v>607</v>
      </c>
      <c r="O425" s="2" t="s">
        <v>183</v>
      </c>
      <c r="P425" s="2" t="str">
        <f t="shared" si="9"/>
        <v>155650-REDES DE DISTRIBUCION-SUBCUENTA</v>
      </c>
      <c r="Q425" t="s">
        <v>2285</v>
      </c>
    </row>
    <row r="426" spans="13:17" x14ac:dyDescent="0.25">
      <c r="M426" s="34">
        <v>155655</v>
      </c>
      <c r="N426" s="2" t="s">
        <v>608</v>
      </c>
      <c r="O426" s="2" t="s">
        <v>183</v>
      </c>
      <c r="P426" s="2" t="str">
        <f t="shared" si="9"/>
        <v>155655-PLANTAS DE TRATAMIENTO-SUBCUENTA</v>
      </c>
      <c r="Q426" t="s">
        <v>2286</v>
      </c>
    </row>
    <row r="427" spans="13:17" x14ac:dyDescent="0.25">
      <c r="M427" s="34">
        <v>155660</v>
      </c>
      <c r="N427" s="2" t="s">
        <v>609</v>
      </c>
      <c r="O427" s="2" t="s">
        <v>183</v>
      </c>
      <c r="P427" s="2" t="str">
        <f t="shared" si="9"/>
        <v>155660-REDES DE RECOLECCION DE AGUAS NEGRAS-SUBCUENTA</v>
      </c>
      <c r="Q427" t="s">
        <v>2287</v>
      </c>
    </row>
    <row r="428" spans="13:17" x14ac:dyDescent="0.25">
      <c r="M428" s="34">
        <v>155665</v>
      </c>
      <c r="N428" s="2" t="s">
        <v>610</v>
      </c>
      <c r="O428" s="2" t="s">
        <v>183</v>
      </c>
      <c r="P428" s="2" t="str">
        <f t="shared" si="9"/>
        <v>155665-INSTALACIONES Y EQUIPO DE BOMBEO-SUBCUENTA</v>
      </c>
      <c r="Q428" t="s">
        <v>2288</v>
      </c>
    </row>
    <row r="429" spans="13:17" x14ac:dyDescent="0.25">
      <c r="M429" s="34">
        <v>155670</v>
      </c>
      <c r="N429" s="2" t="s">
        <v>611</v>
      </c>
      <c r="O429" s="2" t="s">
        <v>183</v>
      </c>
      <c r="P429" s="2" t="str">
        <f t="shared" si="9"/>
        <v>155670-REDES DE DISTRIBUCION DE VAPOR-SUBCUENTA</v>
      </c>
      <c r="Q429" t="s">
        <v>2289</v>
      </c>
    </row>
    <row r="430" spans="13:17" x14ac:dyDescent="0.25">
      <c r="M430" s="34">
        <v>155675</v>
      </c>
      <c r="N430" s="2" t="s">
        <v>612</v>
      </c>
      <c r="O430" s="2" t="s">
        <v>183</v>
      </c>
      <c r="P430" s="2" t="str">
        <f t="shared" si="9"/>
        <v>155675-REDES DE AIRE-SUBCUENTA</v>
      </c>
      <c r="Q430" t="s">
        <v>2290</v>
      </c>
    </row>
    <row r="431" spans="13:17" x14ac:dyDescent="0.25">
      <c r="M431" s="34">
        <v>155680</v>
      </c>
      <c r="N431" s="2" t="s">
        <v>613</v>
      </c>
      <c r="O431" s="2" t="s">
        <v>183</v>
      </c>
      <c r="P431" s="2" t="str">
        <f t="shared" si="9"/>
        <v>155680-REDES ALIMENTACION DE GAS-SUBCUENTA</v>
      </c>
      <c r="Q431" t="s">
        <v>2291</v>
      </c>
    </row>
    <row r="432" spans="13:17" x14ac:dyDescent="0.25">
      <c r="M432" s="34">
        <v>155682</v>
      </c>
      <c r="N432" s="2" t="s">
        <v>614</v>
      </c>
      <c r="O432" s="2" t="s">
        <v>183</v>
      </c>
      <c r="P432" s="2" t="str">
        <f t="shared" si="9"/>
        <v>155682-REDES EXTERNAS DE TELEFONIA-SUBCUENTA</v>
      </c>
      <c r="Q432" t="s">
        <v>2292</v>
      </c>
    </row>
    <row r="433" spans="13:17" x14ac:dyDescent="0.25">
      <c r="M433" s="34">
        <v>155685</v>
      </c>
      <c r="N433" s="2" t="s">
        <v>615</v>
      </c>
      <c r="O433" s="2" t="s">
        <v>183</v>
      </c>
      <c r="P433" s="2" t="str">
        <f t="shared" si="9"/>
        <v>155685-PLANTAS DESHIDRATADORAS-SUBCUENTA</v>
      </c>
      <c r="Q433" t="s">
        <v>2293</v>
      </c>
    </row>
    <row r="434" spans="13:17" x14ac:dyDescent="0.25">
      <c r="M434" s="34">
        <v>155695</v>
      </c>
      <c r="N434" s="2" t="s">
        <v>323</v>
      </c>
      <c r="O434" s="2" t="s">
        <v>183</v>
      </c>
      <c r="P434" s="2" t="str">
        <f t="shared" si="9"/>
        <v>155695-OTROS-SUBCUENTA</v>
      </c>
      <c r="Q434" t="s">
        <v>2294</v>
      </c>
    </row>
    <row r="435" spans="13:17" x14ac:dyDescent="0.25">
      <c r="M435" s="34">
        <v>155699</v>
      </c>
      <c r="N435" s="2" t="s">
        <v>367</v>
      </c>
      <c r="O435" s="2" t="s">
        <v>183</v>
      </c>
      <c r="P435" s="2" t="str">
        <f t="shared" si="9"/>
        <v>155699-AJUSTES POR INFLACION-SUBCUENTA</v>
      </c>
      <c r="Q435" t="s">
        <v>2295</v>
      </c>
    </row>
    <row r="436" spans="13:17" x14ac:dyDescent="0.25">
      <c r="M436" s="34">
        <v>1560</v>
      </c>
      <c r="N436" s="2" t="s">
        <v>616</v>
      </c>
      <c r="O436" s="2" t="s">
        <v>182</v>
      </c>
      <c r="P436" s="2" t="str">
        <f t="shared" si="9"/>
        <v>1560-ARMAMENTO DE VIGILANCIA-CUENTA</v>
      </c>
      <c r="Q436" t="s">
        <v>2296</v>
      </c>
    </row>
    <row r="437" spans="13:17" x14ac:dyDescent="0.25">
      <c r="M437" s="34" t="s">
        <v>204</v>
      </c>
      <c r="N437" s="2" t="s">
        <v>188</v>
      </c>
      <c r="O437" s="2" t="s">
        <v>188</v>
      </c>
      <c r="P437" s="2" t="str">
        <f t="shared" si="9"/>
        <v xml:space="preserve">156001 a 156098 </v>
      </c>
      <c r="Q437" t="s">
        <v>2297</v>
      </c>
    </row>
    <row r="438" spans="13:17" x14ac:dyDescent="0.25">
      <c r="M438" s="34">
        <v>156099</v>
      </c>
      <c r="N438" s="2" t="s">
        <v>367</v>
      </c>
      <c r="O438" s="2" t="s">
        <v>183</v>
      </c>
      <c r="P438" s="2" t="str">
        <f t="shared" si="9"/>
        <v>156099-AJUSTES POR INFLACION-SUBCUENTA</v>
      </c>
      <c r="Q438" t="s">
        <v>2298</v>
      </c>
    </row>
    <row r="439" spans="13:17" x14ac:dyDescent="0.25">
      <c r="M439" s="34">
        <v>1562</v>
      </c>
      <c r="N439" s="2" t="s">
        <v>506</v>
      </c>
      <c r="O439" s="2" t="s">
        <v>182</v>
      </c>
      <c r="P439" s="2" t="str">
        <f t="shared" si="9"/>
        <v>1562-ENVASES Y EMPAQUES-CUENTA</v>
      </c>
      <c r="Q439" t="s">
        <v>2299</v>
      </c>
    </row>
    <row r="440" spans="13:17" x14ac:dyDescent="0.25">
      <c r="M440" s="34" t="s">
        <v>205</v>
      </c>
      <c r="N440" s="2" t="s">
        <v>188</v>
      </c>
      <c r="O440" s="2" t="s">
        <v>188</v>
      </c>
      <c r="P440" s="2" t="str">
        <f t="shared" si="9"/>
        <v xml:space="preserve">156201 a 156298 </v>
      </c>
      <c r="Q440" t="s">
        <v>2300</v>
      </c>
    </row>
    <row r="441" spans="13:17" x14ac:dyDescent="0.25">
      <c r="M441" s="34">
        <v>156299</v>
      </c>
      <c r="N441" s="2" t="s">
        <v>367</v>
      </c>
      <c r="O441" s="2" t="s">
        <v>183</v>
      </c>
      <c r="P441" s="2" t="str">
        <f t="shared" si="9"/>
        <v>156299-AJUSTES POR INFLACION-SUBCUENTA</v>
      </c>
      <c r="Q441" t="s">
        <v>2301</v>
      </c>
    </row>
    <row r="442" spans="13:17" x14ac:dyDescent="0.25">
      <c r="M442" s="34">
        <v>1564</v>
      </c>
      <c r="N442" s="2" t="s">
        <v>617</v>
      </c>
      <c r="O442" s="2" t="s">
        <v>182</v>
      </c>
      <c r="P442" s="2" t="str">
        <f t="shared" si="9"/>
        <v>1564-PLANTACIONES AGRICOLAS Y FORESTALES-CUENTA</v>
      </c>
      <c r="Q442" t="s">
        <v>2302</v>
      </c>
    </row>
    <row r="443" spans="13:17" x14ac:dyDescent="0.25">
      <c r="M443" s="34">
        <v>156405</v>
      </c>
      <c r="N443" s="2" t="s">
        <v>478</v>
      </c>
      <c r="O443" s="2" t="s">
        <v>183</v>
      </c>
      <c r="P443" s="2" t="str">
        <f t="shared" si="9"/>
        <v>156405-CULTIVOS EN DESARROLLO-SUBCUENTA</v>
      </c>
      <c r="Q443" t="s">
        <v>2303</v>
      </c>
    </row>
    <row r="444" spans="13:17" x14ac:dyDescent="0.25">
      <c r="M444" s="34">
        <v>156410</v>
      </c>
      <c r="N444" s="2" t="s">
        <v>618</v>
      </c>
      <c r="O444" s="2" t="s">
        <v>183</v>
      </c>
      <c r="P444" s="2" t="str">
        <f t="shared" si="9"/>
        <v>156410-CULTIVOS AMORTIZABLES-SUBCUENTA</v>
      </c>
      <c r="Q444" t="s">
        <v>2304</v>
      </c>
    </row>
    <row r="445" spans="13:17" x14ac:dyDescent="0.25">
      <c r="M445" s="34">
        <v>156499</v>
      </c>
      <c r="N445" s="2" t="s">
        <v>367</v>
      </c>
      <c r="O445" s="2" t="s">
        <v>183</v>
      </c>
      <c r="P445" s="2" t="str">
        <f t="shared" si="9"/>
        <v>156499-AJUSTES POR INFLACION-SUBCUENTA</v>
      </c>
      <c r="Q445" t="s">
        <v>2305</v>
      </c>
    </row>
    <row r="446" spans="13:17" x14ac:dyDescent="0.25">
      <c r="M446" s="34">
        <v>1568</v>
      </c>
      <c r="N446" s="2" t="s">
        <v>522</v>
      </c>
      <c r="O446" s="2" t="s">
        <v>182</v>
      </c>
      <c r="P446" s="2" t="str">
        <f t="shared" si="9"/>
        <v>1568-VIAS DE COMUNICACION-CUENTA</v>
      </c>
      <c r="Q446" t="s">
        <v>2306</v>
      </c>
    </row>
    <row r="447" spans="13:17" x14ac:dyDescent="0.25">
      <c r="M447" s="34">
        <v>156805</v>
      </c>
      <c r="N447" s="2" t="s">
        <v>619</v>
      </c>
      <c r="O447" s="2" t="s">
        <v>183</v>
      </c>
      <c r="P447" s="2" t="str">
        <f t="shared" si="9"/>
        <v>156805-PAVIMENTACION Y PATIOS-SUBCUENTA</v>
      </c>
      <c r="Q447" t="s">
        <v>2307</v>
      </c>
    </row>
    <row r="448" spans="13:17" x14ac:dyDescent="0.25">
      <c r="M448" s="34">
        <v>156810</v>
      </c>
      <c r="N448" s="2" t="s">
        <v>620</v>
      </c>
      <c r="O448" s="2" t="s">
        <v>183</v>
      </c>
      <c r="P448" s="2" t="str">
        <f t="shared" si="9"/>
        <v>156810-VIAS-SUBCUENTA</v>
      </c>
      <c r="Q448" t="s">
        <v>2308</v>
      </c>
    </row>
    <row r="449" spans="13:17" x14ac:dyDescent="0.25">
      <c r="M449" s="34">
        <v>156815</v>
      </c>
      <c r="N449" s="2" t="s">
        <v>621</v>
      </c>
      <c r="O449" s="2" t="s">
        <v>183</v>
      </c>
      <c r="P449" s="2" t="str">
        <f t="shared" si="9"/>
        <v>156815-PUENTES-SUBCUENTA</v>
      </c>
      <c r="Q449" t="s">
        <v>2309</v>
      </c>
    </row>
    <row r="450" spans="13:17" x14ac:dyDescent="0.25">
      <c r="M450" s="34">
        <v>156820</v>
      </c>
      <c r="N450" s="2" t="s">
        <v>622</v>
      </c>
      <c r="O450" s="2" t="s">
        <v>183</v>
      </c>
      <c r="P450" s="2" t="str">
        <f t="shared" si="9"/>
        <v>156820-CALLES-SUBCUENTA</v>
      </c>
      <c r="Q450" t="s">
        <v>2310</v>
      </c>
    </row>
    <row r="451" spans="13:17" x14ac:dyDescent="0.25">
      <c r="M451" s="34">
        <v>156825</v>
      </c>
      <c r="N451" s="2" t="s">
        <v>623</v>
      </c>
      <c r="O451" s="2" t="s">
        <v>183</v>
      </c>
      <c r="P451" s="2" t="str">
        <f t="shared" si="9"/>
        <v>156825-AERODROMOS-SUBCUENTA</v>
      </c>
      <c r="Q451" t="s">
        <v>2311</v>
      </c>
    </row>
    <row r="452" spans="13:17" x14ac:dyDescent="0.25">
      <c r="M452" s="34">
        <v>156895</v>
      </c>
      <c r="N452" s="2" t="s">
        <v>323</v>
      </c>
      <c r="O452" s="2" t="s">
        <v>183</v>
      </c>
      <c r="P452" s="2" t="str">
        <f t="shared" ref="P452:P515" si="10">IF(AND(M452&lt;&gt;"",N452&lt;&gt;"",O452&lt;&gt;""),M452&amp;"-"&amp;N452&amp;"-"&amp;O452,IF(AND(M452="",N452&lt;&gt;"",O452&lt;&gt;""),N452&amp;"-"&amp;O452,IF(AND(M452&lt;&gt;"",N452="",O452&lt;&gt;""),M452&amp;"-"&amp;O452,IF(AND(M452&lt;&gt;"",N452&lt;&gt;"",O452=""),M452&amp;"-"&amp;N452,IF(AND(M452&lt;&gt;"",N452="",O452=""),M452,"")))))</f>
        <v>156895-OTROS-SUBCUENTA</v>
      </c>
      <c r="Q452" t="s">
        <v>2312</v>
      </c>
    </row>
    <row r="453" spans="13:17" x14ac:dyDescent="0.25">
      <c r="M453" s="34">
        <v>156899</v>
      </c>
      <c r="N453" s="2" t="s">
        <v>367</v>
      </c>
      <c r="O453" s="2" t="s">
        <v>183</v>
      </c>
      <c r="P453" s="2" t="str">
        <f t="shared" si="10"/>
        <v>156899-AJUSTES POR INFLACION-SUBCUENTA</v>
      </c>
      <c r="Q453" t="s">
        <v>2313</v>
      </c>
    </row>
    <row r="454" spans="13:17" x14ac:dyDescent="0.25">
      <c r="M454" s="34">
        <v>1572</v>
      </c>
      <c r="N454" s="2" t="s">
        <v>624</v>
      </c>
      <c r="O454" s="2" t="s">
        <v>182</v>
      </c>
      <c r="P454" s="2" t="str">
        <f t="shared" si="10"/>
        <v>1572-MINAS Y CANTERAS-CUENTA</v>
      </c>
      <c r="Q454" t="s">
        <v>2314</v>
      </c>
    </row>
    <row r="455" spans="13:17" x14ac:dyDescent="0.25">
      <c r="M455" s="34">
        <v>157205</v>
      </c>
      <c r="N455" s="2" t="s">
        <v>625</v>
      </c>
      <c r="O455" s="2" t="s">
        <v>183</v>
      </c>
      <c r="P455" s="2" t="str">
        <f t="shared" si="10"/>
        <v>157205-MINAS-SUBCUENTA</v>
      </c>
      <c r="Q455" t="s">
        <v>2315</v>
      </c>
    </row>
    <row r="456" spans="13:17" x14ac:dyDescent="0.25">
      <c r="M456" s="34">
        <v>157210</v>
      </c>
      <c r="N456" s="2" t="s">
        <v>626</v>
      </c>
      <c r="O456" s="2" t="s">
        <v>183</v>
      </c>
      <c r="P456" s="2" t="str">
        <f t="shared" si="10"/>
        <v>157210-CANTERAS-SUBCUENTA</v>
      </c>
      <c r="Q456" t="s">
        <v>2316</v>
      </c>
    </row>
    <row r="457" spans="13:17" x14ac:dyDescent="0.25">
      <c r="M457" s="34">
        <v>157299</v>
      </c>
      <c r="N457" s="2" t="s">
        <v>367</v>
      </c>
      <c r="O457" s="2" t="s">
        <v>183</v>
      </c>
      <c r="P457" s="2" t="str">
        <f t="shared" si="10"/>
        <v>157299-AJUSTES POR INFLACION-SUBCUENTA</v>
      </c>
      <c r="Q457" t="s">
        <v>2317</v>
      </c>
    </row>
    <row r="458" spans="13:17" x14ac:dyDescent="0.25">
      <c r="M458" s="34">
        <v>1576</v>
      </c>
      <c r="N458" s="2" t="s">
        <v>523</v>
      </c>
      <c r="O458" s="2" t="s">
        <v>182</v>
      </c>
      <c r="P458" s="2" t="str">
        <f t="shared" si="10"/>
        <v>1576-POZOS ARTESIANOS-CUENTA</v>
      </c>
      <c r="Q458" t="s">
        <v>2318</v>
      </c>
    </row>
    <row r="459" spans="13:17" x14ac:dyDescent="0.25">
      <c r="M459" s="34" t="s">
        <v>206</v>
      </c>
      <c r="N459" s="2" t="s">
        <v>188</v>
      </c>
      <c r="O459" s="2" t="s">
        <v>188</v>
      </c>
      <c r="P459" s="2" t="str">
        <f t="shared" si="10"/>
        <v xml:space="preserve">157601 a 157698 </v>
      </c>
      <c r="Q459" t="s">
        <v>2319</v>
      </c>
    </row>
    <row r="460" spans="13:17" x14ac:dyDescent="0.25">
      <c r="M460" s="34">
        <v>157699</v>
      </c>
      <c r="N460" s="2" t="s">
        <v>367</v>
      </c>
      <c r="O460" s="2" t="s">
        <v>183</v>
      </c>
      <c r="P460" s="2" t="str">
        <f t="shared" si="10"/>
        <v>157699-AJUSTES POR INFLACION-SUBCUENTA</v>
      </c>
      <c r="Q460" t="s">
        <v>2320</v>
      </c>
    </row>
    <row r="461" spans="13:17" x14ac:dyDescent="0.25">
      <c r="M461" s="34">
        <v>1580</v>
      </c>
      <c r="N461" s="2" t="s">
        <v>627</v>
      </c>
      <c r="O461" s="2" t="s">
        <v>182</v>
      </c>
      <c r="P461" s="2" t="str">
        <f t="shared" si="10"/>
        <v>1580-YACIMIENTOS-CUENTA</v>
      </c>
      <c r="Q461" t="s">
        <v>2321</v>
      </c>
    </row>
    <row r="462" spans="13:17" x14ac:dyDescent="0.25">
      <c r="M462" s="34" t="s">
        <v>207</v>
      </c>
      <c r="N462" s="2" t="s">
        <v>188</v>
      </c>
      <c r="O462" s="2" t="s">
        <v>188</v>
      </c>
      <c r="P462" s="2" t="str">
        <f t="shared" si="10"/>
        <v xml:space="preserve">158001 a 158098 </v>
      </c>
      <c r="Q462" t="s">
        <v>2322</v>
      </c>
    </row>
    <row r="463" spans="13:17" x14ac:dyDescent="0.25">
      <c r="M463" s="34">
        <v>158099</v>
      </c>
      <c r="N463" s="2" t="s">
        <v>367</v>
      </c>
      <c r="O463" s="2" t="s">
        <v>183</v>
      </c>
      <c r="P463" s="2" t="str">
        <f t="shared" si="10"/>
        <v>158099-AJUSTES POR INFLACION-SUBCUENTA</v>
      </c>
      <c r="Q463" t="s">
        <v>2323</v>
      </c>
    </row>
    <row r="464" spans="13:17" x14ac:dyDescent="0.25">
      <c r="M464" s="34">
        <v>1584</v>
      </c>
      <c r="N464" s="2" t="s">
        <v>487</v>
      </c>
      <c r="O464" s="2" t="s">
        <v>182</v>
      </c>
      <c r="P464" s="2" t="str">
        <f t="shared" si="10"/>
        <v>1584-SEMOVIENTES-CUENTA</v>
      </c>
      <c r="Q464" t="s">
        <v>2324</v>
      </c>
    </row>
    <row r="465" spans="13:17" x14ac:dyDescent="0.25">
      <c r="M465" s="34">
        <v>158405</v>
      </c>
      <c r="N465" s="2" t="s">
        <v>489</v>
      </c>
      <c r="O465" s="2" t="s">
        <v>183</v>
      </c>
      <c r="P465" s="2" t="str">
        <f t="shared" si="10"/>
        <v>158405-ESPECIES MENORES-SUBCUENTA</v>
      </c>
      <c r="Q465" t="s">
        <v>2325</v>
      </c>
    </row>
    <row r="466" spans="13:17" x14ac:dyDescent="0.25">
      <c r="M466" s="34">
        <v>158410</v>
      </c>
      <c r="N466" s="2" t="s">
        <v>488</v>
      </c>
      <c r="O466" s="2" t="s">
        <v>183</v>
      </c>
      <c r="P466" s="2" t="str">
        <f t="shared" si="10"/>
        <v>158410-ESPECIES MAYORES-SUBCUENTA</v>
      </c>
      <c r="Q466" t="s">
        <v>2326</v>
      </c>
    </row>
    <row r="467" spans="13:17" x14ac:dyDescent="0.25">
      <c r="M467" s="34">
        <v>158499</v>
      </c>
      <c r="N467" s="2" t="s">
        <v>367</v>
      </c>
      <c r="O467" s="2" t="s">
        <v>183</v>
      </c>
      <c r="P467" s="2" t="str">
        <f t="shared" si="10"/>
        <v>158499-AJUSTES POR INFLACION-SUBCUENTA</v>
      </c>
      <c r="Q467" t="s">
        <v>2327</v>
      </c>
    </row>
    <row r="468" spans="13:17" x14ac:dyDescent="0.25">
      <c r="M468" s="34">
        <v>1588</v>
      </c>
      <c r="N468" s="2" t="s">
        <v>628</v>
      </c>
      <c r="O468" s="2" t="s">
        <v>182</v>
      </c>
      <c r="P468" s="2" t="str">
        <f t="shared" si="10"/>
        <v>1588-PROPIEDADES PLANTA Y EQUIPO EN TRANSITO-CUENTA</v>
      </c>
      <c r="Q468" t="s">
        <v>2328</v>
      </c>
    </row>
    <row r="469" spans="13:17" x14ac:dyDescent="0.25">
      <c r="M469" s="34">
        <v>158805</v>
      </c>
      <c r="N469" s="2" t="s">
        <v>527</v>
      </c>
      <c r="O469" s="2" t="s">
        <v>183</v>
      </c>
      <c r="P469" s="2" t="str">
        <f t="shared" si="10"/>
        <v>158805-MAQUINARIA Y EQUIPO-SUBCUENTA</v>
      </c>
      <c r="Q469" t="s">
        <v>2329</v>
      </c>
    </row>
    <row r="470" spans="13:17" x14ac:dyDescent="0.25">
      <c r="M470" s="34">
        <v>158810</v>
      </c>
      <c r="N470" s="2" t="s">
        <v>528</v>
      </c>
      <c r="O470" s="2" t="s">
        <v>183</v>
      </c>
      <c r="P470" s="2" t="str">
        <f t="shared" si="10"/>
        <v>158810-EQUIPO DE OFICINA-SUBCUENTA</v>
      </c>
      <c r="Q470" t="s">
        <v>2330</v>
      </c>
    </row>
    <row r="471" spans="13:17" x14ac:dyDescent="0.25">
      <c r="M471" s="34">
        <v>158815</v>
      </c>
      <c r="N471" s="2" t="s">
        <v>529</v>
      </c>
      <c r="O471" s="2" t="s">
        <v>183</v>
      </c>
      <c r="P471" s="2" t="str">
        <f t="shared" si="10"/>
        <v>158815-EQUIPO DE COMPUTACION Y COMUNICACION-SUBCUENTA</v>
      </c>
      <c r="Q471" t="s">
        <v>2331</v>
      </c>
    </row>
    <row r="472" spans="13:17" x14ac:dyDescent="0.25">
      <c r="M472" s="34">
        <v>158820</v>
      </c>
      <c r="N472" s="2" t="s">
        <v>629</v>
      </c>
      <c r="O472" s="2" t="s">
        <v>183</v>
      </c>
      <c r="P472" s="2" t="str">
        <f t="shared" si="10"/>
        <v>158820-EQUIPO MEDICO CIENTIFICO-SUBCUENTA</v>
      </c>
      <c r="Q472" t="s">
        <v>2332</v>
      </c>
    </row>
    <row r="473" spans="13:17" x14ac:dyDescent="0.25">
      <c r="M473" s="34">
        <v>158825</v>
      </c>
      <c r="N473" s="2" t="s">
        <v>531</v>
      </c>
      <c r="O473" s="2" t="s">
        <v>183</v>
      </c>
      <c r="P473" s="2" t="str">
        <f t="shared" si="10"/>
        <v>158825-EQUIPO DE HOTELES Y RESTAURANTES-SUBCUENTA</v>
      </c>
      <c r="Q473" t="s">
        <v>2333</v>
      </c>
    </row>
    <row r="474" spans="13:17" x14ac:dyDescent="0.25">
      <c r="M474" s="34">
        <v>158830</v>
      </c>
      <c r="N474" s="2" t="s">
        <v>532</v>
      </c>
      <c r="O474" s="2" t="s">
        <v>183</v>
      </c>
      <c r="P474" s="2" t="str">
        <f t="shared" si="10"/>
        <v>158830-FLOTA Y EQUIPO DE TRANSPORTE-SUBCUENTA</v>
      </c>
      <c r="Q474" t="s">
        <v>2334</v>
      </c>
    </row>
    <row r="475" spans="13:17" x14ac:dyDescent="0.25">
      <c r="M475" s="34">
        <v>158835</v>
      </c>
      <c r="N475" s="2" t="s">
        <v>533</v>
      </c>
      <c r="O475" s="2" t="s">
        <v>183</v>
      </c>
      <c r="P475" s="2" t="str">
        <f t="shared" si="10"/>
        <v>158835-FLOTA Y EQUIPO FLUVIAL Y/O MARITIMO-SUBCUENTA</v>
      </c>
      <c r="Q475" t="s">
        <v>2335</v>
      </c>
    </row>
    <row r="476" spans="13:17" x14ac:dyDescent="0.25">
      <c r="M476" s="34">
        <v>158840</v>
      </c>
      <c r="N476" s="2" t="s">
        <v>534</v>
      </c>
      <c r="O476" s="2" t="s">
        <v>183</v>
      </c>
      <c r="P476" s="2" t="str">
        <f t="shared" si="10"/>
        <v>158840-FLOTA Y EQUIPO AEREO-SUBCUENTA</v>
      </c>
      <c r="Q476" t="s">
        <v>2336</v>
      </c>
    </row>
    <row r="477" spans="13:17" x14ac:dyDescent="0.25">
      <c r="M477" s="34">
        <v>158845</v>
      </c>
      <c r="N477" s="2" t="s">
        <v>535</v>
      </c>
      <c r="O477" s="2" t="s">
        <v>183</v>
      </c>
      <c r="P477" s="2" t="str">
        <f t="shared" si="10"/>
        <v>158845-FLOTA Y EQUIPO FERREO-SUBCUENTA</v>
      </c>
      <c r="Q477" t="s">
        <v>2337</v>
      </c>
    </row>
    <row r="478" spans="13:17" x14ac:dyDescent="0.25">
      <c r="M478" s="34">
        <v>158850</v>
      </c>
      <c r="N478" s="2" t="s">
        <v>536</v>
      </c>
      <c r="O478" s="2" t="s">
        <v>183</v>
      </c>
      <c r="P478" s="2" t="str">
        <f t="shared" si="10"/>
        <v>158850-PLANTAS Y REDES-SUBCUENTA</v>
      </c>
      <c r="Q478" t="s">
        <v>2338</v>
      </c>
    </row>
    <row r="479" spans="13:17" x14ac:dyDescent="0.25">
      <c r="M479" s="34">
        <v>158855</v>
      </c>
      <c r="N479" s="2" t="s">
        <v>616</v>
      </c>
      <c r="O479" s="2" t="s">
        <v>183</v>
      </c>
      <c r="P479" s="2" t="str">
        <f t="shared" si="10"/>
        <v>158855-ARMAMENTO DE VIGILANCIA-SUBCUENTA</v>
      </c>
      <c r="Q479" t="s">
        <v>2339</v>
      </c>
    </row>
    <row r="480" spans="13:17" x14ac:dyDescent="0.25">
      <c r="M480" s="34">
        <v>158860</v>
      </c>
      <c r="N480" s="2" t="s">
        <v>487</v>
      </c>
      <c r="O480" s="2" t="s">
        <v>183</v>
      </c>
      <c r="P480" s="2" t="str">
        <f t="shared" si="10"/>
        <v>158860-SEMOVIENTES-SUBCUENTA</v>
      </c>
      <c r="Q480" t="s">
        <v>2340</v>
      </c>
    </row>
    <row r="481" spans="13:17" x14ac:dyDescent="0.25">
      <c r="M481" s="34">
        <v>158865</v>
      </c>
      <c r="N481" s="2" t="s">
        <v>506</v>
      </c>
      <c r="O481" s="2" t="s">
        <v>183</v>
      </c>
      <c r="P481" s="2" t="str">
        <f t="shared" si="10"/>
        <v>158865-ENVASES Y EMPAQUES-SUBCUENTA</v>
      </c>
      <c r="Q481" t="s">
        <v>2341</v>
      </c>
    </row>
    <row r="482" spans="13:17" x14ac:dyDescent="0.25">
      <c r="M482" s="34">
        <v>158899</v>
      </c>
      <c r="N482" s="2" t="s">
        <v>367</v>
      </c>
      <c r="O482" s="2" t="s">
        <v>183</v>
      </c>
      <c r="P482" s="2" t="str">
        <f t="shared" si="10"/>
        <v>158899-AJUSTES POR INFLACION-SUBCUENTA</v>
      </c>
      <c r="Q482" t="s">
        <v>2342</v>
      </c>
    </row>
    <row r="483" spans="13:17" x14ac:dyDescent="0.25">
      <c r="M483" s="34">
        <v>1592</v>
      </c>
      <c r="N483" s="2" t="s">
        <v>630</v>
      </c>
      <c r="O483" s="2" t="s">
        <v>182</v>
      </c>
      <c r="P483" s="2" t="str">
        <f t="shared" si="10"/>
        <v>1592-DEPRECIACION ACUMULADA-CUENTA</v>
      </c>
      <c r="Q483" t="s">
        <v>2343</v>
      </c>
    </row>
    <row r="484" spans="13:17" x14ac:dyDescent="0.25">
      <c r="M484" s="34">
        <v>159205</v>
      </c>
      <c r="N484" s="2" t="s">
        <v>520</v>
      </c>
      <c r="O484" s="2" t="s">
        <v>183</v>
      </c>
      <c r="P484" s="2" t="str">
        <f t="shared" si="10"/>
        <v>159205-CONSTRUCCIONES Y EDIFICACIONES-SUBCUENTA</v>
      </c>
      <c r="Q484" t="s">
        <v>2344</v>
      </c>
    </row>
    <row r="485" spans="13:17" x14ac:dyDescent="0.25">
      <c r="M485" s="34">
        <v>159210</v>
      </c>
      <c r="N485" s="2" t="s">
        <v>527</v>
      </c>
      <c r="O485" s="2" t="s">
        <v>183</v>
      </c>
      <c r="P485" s="2" t="str">
        <f t="shared" si="10"/>
        <v>159210-MAQUINARIA Y EQUIPO-SUBCUENTA</v>
      </c>
      <c r="Q485" t="s">
        <v>2345</v>
      </c>
    </row>
    <row r="486" spans="13:17" x14ac:dyDescent="0.25">
      <c r="M486" s="34">
        <v>159215</v>
      </c>
      <c r="N486" s="2" t="s">
        <v>528</v>
      </c>
      <c r="O486" s="2" t="s">
        <v>183</v>
      </c>
      <c r="P486" s="2" t="str">
        <f t="shared" si="10"/>
        <v>159215-EQUIPO DE OFICINA-SUBCUENTA</v>
      </c>
      <c r="Q486" t="s">
        <v>2346</v>
      </c>
    </row>
    <row r="487" spans="13:17" x14ac:dyDescent="0.25">
      <c r="M487" s="34">
        <v>159220</v>
      </c>
      <c r="N487" s="2" t="s">
        <v>529</v>
      </c>
      <c r="O487" s="2" t="s">
        <v>183</v>
      </c>
      <c r="P487" s="2" t="str">
        <f t="shared" si="10"/>
        <v>159220-EQUIPO DE COMPUTACION Y COMUNICACION-SUBCUENTA</v>
      </c>
      <c r="Q487" t="s">
        <v>2347</v>
      </c>
    </row>
    <row r="488" spans="13:17" x14ac:dyDescent="0.25">
      <c r="M488" s="34">
        <v>159225</v>
      </c>
      <c r="N488" s="2" t="s">
        <v>629</v>
      </c>
      <c r="O488" s="2" t="s">
        <v>183</v>
      </c>
      <c r="P488" s="2" t="str">
        <f t="shared" si="10"/>
        <v>159225-EQUIPO MEDICO CIENTIFICO-SUBCUENTA</v>
      </c>
      <c r="Q488" t="s">
        <v>2348</v>
      </c>
    </row>
    <row r="489" spans="13:17" x14ac:dyDescent="0.25">
      <c r="M489" s="34">
        <v>159230</v>
      </c>
      <c r="N489" s="2" t="s">
        <v>531</v>
      </c>
      <c r="O489" s="2" t="s">
        <v>183</v>
      </c>
      <c r="P489" s="2" t="str">
        <f t="shared" si="10"/>
        <v>159230-EQUIPO DE HOTELES Y RESTAURANTES-SUBCUENTA</v>
      </c>
      <c r="Q489" t="s">
        <v>2349</v>
      </c>
    </row>
    <row r="490" spans="13:17" x14ac:dyDescent="0.25">
      <c r="M490" s="34">
        <v>159235</v>
      </c>
      <c r="N490" s="2" t="s">
        <v>532</v>
      </c>
      <c r="O490" s="2" t="s">
        <v>183</v>
      </c>
      <c r="P490" s="2" t="str">
        <f t="shared" si="10"/>
        <v>159235-FLOTA Y EQUIPO DE TRANSPORTE-SUBCUENTA</v>
      </c>
      <c r="Q490" t="s">
        <v>1566</v>
      </c>
    </row>
    <row r="491" spans="13:17" x14ac:dyDescent="0.25">
      <c r="M491" s="34">
        <v>159240</v>
      </c>
      <c r="N491" s="2" t="s">
        <v>533</v>
      </c>
      <c r="O491" s="2" t="s">
        <v>183</v>
      </c>
      <c r="P491" s="2" t="str">
        <f t="shared" si="10"/>
        <v>159240-FLOTA Y EQUIPO FLUVIAL Y/O MARITIMO-SUBCUENTA</v>
      </c>
      <c r="Q491" t="s">
        <v>2350</v>
      </c>
    </row>
    <row r="492" spans="13:17" x14ac:dyDescent="0.25">
      <c r="M492" s="34">
        <v>159245</v>
      </c>
      <c r="N492" s="2" t="s">
        <v>534</v>
      </c>
      <c r="O492" s="2" t="s">
        <v>183</v>
      </c>
      <c r="P492" s="2" t="str">
        <f t="shared" si="10"/>
        <v>159245-FLOTA Y EQUIPO AEREO-SUBCUENTA</v>
      </c>
      <c r="Q492" t="s">
        <v>1562</v>
      </c>
    </row>
    <row r="493" spans="13:17" x14ac:dyDescent="0.25">
      <c r="M493" s="34">
        <v>159250</v>
      </c>
      <c r="N493" s="2" t="s">
        <v>535</v>
      </c>
      <c r="O493" s="2" t="s">
        <v>183</v>
      </c>
      <c r="P493" s="2" t="str">
        <f t="shared" si="10"/>
        <v>159250-FLOTA Y EQUIPO FERREO-SUBCUENTA</v>
      </c>
      <c r="Q493" t="s">
        <v>2351</v>
      </c>
    </row>
    <row r="494" spans="13:17" x14ac:dyDescent="0.25">
      <c r="M494" s="34">
        <v>159255</v>
      </c>
      <c r="N494" s="2" t="s">
        <v>521</v>
      </c>
      <c r="O494" s="2" t="s">
        <v>183</v>
      </c>
      <c r="P494" s="2" t="str">
        <f t="shared" si="10"/>
        <v>159255-ACUEDUCTOS PLANTAS Y REDES-SUBCUENTA</v>
      </c>
      <c r="Q494" t="s">
        <v>2352</v>
      </c>
    </row>
    <row r="495" spans="13:17" x14ac:dyDescent="0.25">
      <c r="M495" s="34">
        <v>159260</v>
      </c>
      <c r="N495" s="2" t="s">
        <v>616</v>
      </c>
      <c r="O495" s="2" t="s">
        <v>183</v>
      </c>
      <c r="P495" s="2" t="str">
        <f t="shared" si="10"/>
        <v>159260-ARMAMENTO DE VIGILANCIA-SUBCUENTA</v>
      </c>
      <c r="Q495" t="s">
        <v>2353</v>
      </c>
    </row>
    <row r="496" spans="13:17" x14ac:dyDescent="0.25">
      <c r="M496" s="34">
        <v>159265</v>
      </c>
      <c r="N496" s="2" t="s">
        <v>506</v>
      </c>
      <c r="O496" s="2" t="s">
        <v>183</v>
      </c>
      <c r="P496" s="2" t="str">
        <f t="shared" si="10"/>
        <v>159265-ENVASES Y EMPAQUES-SUBCUENTA</v>
      </c>
      <c r="Q496" t="s">
        <v>2354</v>
      </c>
    </row>
    <row r="497" spans="13:17" x14ac:dyDescent="0.25">
      <c r="M497" s="34">
        <v>159299</v>
      </c>
      <c r="N497" s="2" t="s">
        <v>367</v>
      </c>
      <c r="O497" s="2" t="s">
        <v>183</v>
      </c>
      <c r="P497" s="2" t="str">
        <f t="shared" si="10"/>
        <v>159299-AJUSTES POR INFLACION-SUBCUENTA</v>
      </c>
      <c r="Q497" t="s">
        <v>2355</v>
      </c>
    </row>
    <row r="498" spans="13:17" x14ac:dyDescent="0.25">
      <c r="M498" s="34">
        <v>1596</v>
      </c>
      <c r="N498" s="2" t="s">
        <v>631</v>
      </c>
      <c r="O498" s="2" t="s">
        <v>182</v>
      </c>
      <c r="P498" s="2" t="str">
        <f t="shared" si="10"/>
        <v>1596-DEPRECIACION DIFERIDA-CUENTA</v>
      </c>
      <c r="Q498" t="s">
        <v>2356</v>
      </c>
    </row>
    <row r="499" spans="13:17" x14ac:dyDescent="0.25">
      <c r="M499" s="34">
        <v>159605</v>
      </c>
      <c r="N499" s="2" t="s">
        <v>632</v>
      </c>
      <c r="O499" s="2" t="s">
        <v>183</v>
      </c>
      <c r="P499" s="2" t="str">
        <f t="shared" si="10"/>
        <v>159605-EXCESO FISCAL SOBRE LA CONTABLE-SUBCUENTA</v>
      </c>
      <c r="Q499" t="s">
        <v>2357</v>
      </c>
    </row>
    <row r="500" spans="13:17" x14ac:dyDescent="0.25">
      <c r="M500" s="34">
        <v>159610</v>
      </c>
      <c r="N500" s="2" t="s">
        <v>633</v>
      </c>
      <c r="O500" s="2" t="s">
        <v>183</v>
      </c>
      <c r="P500" s="2" t="str">
        <f t="shared" si="10"/>
        <v>159610-DEFECTO FISCAL SOBRE LA CONTABLE (CR)-SUBCUENTA</v>
      </c>
      <c r="Q500" t="s">
        <v>2358</v>
      </c>
    </row>
    <row r="501" spans="13:17" x14ac:dyDescent="0.25">
      <c r="M501" s="34">
        <v>159699</v>
      </c>
      <c r="N501" s="2" t="s">
        <v>367</v>
      </c>
      <c r="O501" s="2" t="s">
        <v>183</v>
      </c>
      <c r="P501" s="2" t="str">
        <f t="shared" si="10"/>
        <v>159699-AJUSTES POR INFLACION-SUBCUENTA</v>
      </c>
      <c r="Q501" t="s">
        <v>2359</v>
      </c>
    </row>
    <row r="502" spans="13:17" x14ac:dyDescent="0.25">
      <c r="M502" s="34">
        <v>1597</v>
      </c>
      <c r="N502" s="2" t="s">
        <v>634</v>
      </c>
      <c r="O502" s="2" t="s">
        <v>182</v>
      </c>
      <c r="P502" s="2" t="str">
        <f t="shared" si="10"/>
        <v>1597-AMORTIZACION ACUMULADA-CUENTA</v>
      </c>
      <c r="Q502" t="s">
        <v>2360</v>
      </c>
    </row>
    <row r="503" spans="13:17" x14ac:dyDescent="0.25">
      <c r="M503" s="34">
        <v>159705</v>
      </c>
      <c r="N503" s="2" t="s">
        <v>617</v>
      </c>
      <c r="O503" s="2" t="s">
        <v>183</v>
      </c>
      <c r="P503" s="2" t="str">
        <f t="shared" si="10"/>
        <v>159705-PLANTACIONES AGRICOLAS Y FORESTALES-SUBCUENTA</v>
      </c>
      <c r="Q503" t="s">
        <v>2361</v>
      </c>
    </row>
    <row r="504" spans="13:17" x14ac:dyDescent="0.25">
      <c r="M504" s="34">
        <v>159710</v>
      </c>
      <c r="N504" s="2" t="s">
        <v>522</v>
      </c>
      <c r="O504" s="2" t="s">
        <v>183</v>
      </c>
      <c r="P504" s="2" t="str">
        <f t="shared" si="10"/>
        <v>159710-VIAS DE COMUNICACION-SUBCUENTA</v>
      </c>
      <c r="Q504" t="s">
        <v>2362</v>
      </c>
    </row>
    <row r="505" spans="13:17" x14ac:dyDescent="0.25">
      <c r="M505" s="34">
        <v>159715</v>
      </c>
      <c r="N505" s="2" t="s">
        <v>487</v>
      </c>
      <c r="O505" s="2" t="s">
        <v>183</v>
      </c>
      <c r="P505" s="2" t="str">
        <f t="shared" si="10"/>
        <v>159715-SEMOVIENTES-SUBCUENTA</v>
      </c>
      <c r="Q505" t="s">
        <v>2363</v>
      </c>
    </row>
    <row r="506" spans="13:17" x14ac:dyDescent="0.25">
      <c r="M506" s="34">
        <v>159799</v>
      </c>
      <c r="N506" s="2" t="s">
        <v>367</v>
      </c>
      <c r="O506" s="2" t="s">
        <v>183</v>
      </c>
      <c r="P506" s="2" t="str">
        <f t="shared" si="10"/>
        <v>159799-AJUSTES POR INFLACION-SUBCUENTA</v>
      </c>
      <c r="Q506" t="s">
        <v>2364</v>
      </c>
    </row>
    <row r="507" spans="13:17" x14ac:dyDescent="0.25">
      <c r="M507" s="34">
        <v>1598</v>
      </c>
      <c r="N507" s="2" t="s">
        <v>635</v>
      </c>
      <c r="O507" s="2" t="s">
        <v>182</v>
      </c>
      <c r="P507" s="2" t="str">
        <f t="shared" si="10"/>
        <v>1598-AGOTAMIENTO ACUMULADO-CUENTA</v>
      </c>
      <c r="Q507" t="s">
        <v>2365</v>
      </c>
    </row>
    <row r="508" spans="13:17" x14ac:dyDescent="0.25">
      <c r="M508" s="34">
        <v>159805</v>
      </c>
      <c r="N508" s="2" t="s">
        <v>624</v>
      </c>
      <c r="O508" s="2" t="s">
        <v>183</v>
      </c>
      <c r="P508" s="2" t="str">
        <f t="shared" si="10"/>
        <v>159805-MINAS Y CANTERAS-SUBCUENTA</v>
      </c>
      <c r="Q508" t="s">
        <v>2366</v>
      </c>
    </row>
    <row r="509" spans="13:17" x14ac:dyDescent="0.25">
      <c r="M509" s="34">
        <v>159815</v>
      </c>
      <c r="N509" s="2" t="s">
        <v>523</v>
      </c>
      <c r="O509" s="2" t="s">
        <v>183</v>
      </c>
      <c r="P509" s="2" t="str">
        <f t="shared" si="10"/>
        <v>159815-POZOS ARTESIANOS-SUBCUENTA</v>
      </c>
      <c r="Q509" t="s">
        <v>2367</v>
      </c>
    </row>
    <row r="510" spans="13:17" x14ac:dyDescent="0.25">
      <c r="M510" s="34">
        <v>159820</v>
      </c>
      <c r="N510" s="2" t="s">
        <v>627</v>
      </c>
      <c r="O510" s="2" t="s">
        <v>183</v>
      </c>
      <c r="P510" s="2" t="str">
        <f t="shared" si="10"/>
        <v>159820-YACIMIENTOS-SUBCUENTA</v>
      </c>
      <c r="Q510" t="s">
        <v>2368</v>
      </c>
    </row>
    <row r="511" spans="13:17" x14ac:dyDescent="0.25">
      <c r="M511" s="34">
        <v>159899</v>
      </c>
      <c r="N511" s="2" t="s">
        <v>367</v>
      </c>
      <c r="O511" s="2" t="s">
        <v>183</v>
      </c>
      <c r="P511" s="2" t="str">
        <f t="shared" si="10"/>
        <v>159899-AJUSTES POR INFLACION-SUBCUENTA</v>
      </c>
      <c r="Q511" t="s">
        <v>2369</v>
      </c>
    </row>
    <row r="512" spans="13:17" x14ac:dyDescent="0.25">
      <c r="M512" s="34">
        <v>1599</v>
      </c>
      <c r="N512" s="2" t="s">
        <v>379</v>
      </c>
      <c r="O512" s="2" t="s">
        <v>182</v>
      </c>
      <c r="P512" s="2" t="str">
        <f t="shared" si="10"/>
        <v>1599-PROVISIONES-CUENTA</v>
      </c>
      <c r="Q512" t="s">
        <v>2370</v>
      </c>
    </row>
    <row r="513" spans="13:17" x14ac:dyDescent="0.25">
      <c r="M513" s="34">
        <v>159904</v>
      </c>
      <c r="N513" s="2" t="s">
        <v>490</v>
      </c>
      <c r="O513" s="2" t="s">
        <v>183</v>
      </c>
      <c r="P513" s="2" t="str">
        <f t="shared" si="10"/>
        <v>159904-TERRENOS-SUBCUENTA</v>
      </c>
      <c r="Q513" t="s">
        <v>2371</v>
      </c>
    </row>
    <row r="514" spans="13:17" x14ac:dyDescent="0.25">
      <c r="M514" s="34">
        <v>159906</v>
      </c>
      <c r="N514" s="2" t="s">
        <v>515</v>
      </c>
      <c r="O514" s="2" t="s">
        <v>183</v>
      </c>
      <c r="P514" s="2" t="str">
        <f t="shared" si="10"/>
        <v>159906-MATERIALES PROYECTOS PETROLEROS-SUBCUENTA</v>
      </c>
      <c r="Q514" t="s">
        <v>2372</v>
      </c>
    </row>
    <row r="515" spans="13:17" x14ac:dyDescent="0.25">
      <c r="M515" s="34">
        <v>159908</v>
      </c>
      <c r="N515" s="2" t="s">
        <v>519</v>
      </c>
      <c r="O515" s="2" t="s">
        <v>183</v>
      </c>
      <c r="P515" s="2" t="str">
        <f t="shared" si="10"/>
        <v>159908-CONSTRUCCIONES EN CURSO-SUBCUENTA</v>
      </c>
      <c r="Q515" t="s">
        <v>2373</v>
      </c>
    </row>
    <row r="516" spans="13:17" x14ac:dyDescent="0.25">
      <c r="M516" s="34">
        <v>159912</v>
      </c>
      <c r="N516" s="2" t="s">
        <v>636</v>
      </c>
      <c r="O516" s="2" t="s">
        <v>183</v>
      </c>
      <c r="P516" s="2" t="str">
        <f t="shared" ref="P516:P579" si="11">IF(AND(M516&lt;&gt;"",N516&lt;&gt;"",O516&lt;&gt;""),M516&amp;"-"&amp;N516&amp;"-"&amp;O516,IF(AND(M516="",N516&lt;&gt;"",O516&lt;&gt;""),N516&amp;"-"&amp;O516,IF(AND(M516&lt;&gt;"",N516="",O516&lt;&gt;""),M516&amp;"-"&amp;O516,IF(AND(M516&lt;&gt;"",N516&lt;&gt;"",O516=""),M516&amp;"-"&amp;N516,IF(AND(M516&lt;&gt;"",N516="",O516=""),M516,"")))))</f>
        <v>159912-MAQUINARIA EN MONTAJE-SUBCUENTA</v>
      </c>
      <c r="Q516" t="s">
        <v>2374</v>
      </c>
    </row>
    <row r="517" spans="13:17" x14ac:dyDescent="0.25">
      <c r="M517" s="34">
        <v>159916</v>
      </c>
      <c r="N517" s="2" t="s">
        <v>520</v>
      </c>
      <c r="O517" s="2" t="s">
        <v>183</v>
      </c>
      <c r="P517" s="2" t="str">
        <f t="shared" si="11"/>
        <v>159916-CONSTRUCCIONES Y EDIFICACIONES-SUBCUENTA</v>
      </c>
      <c r="Q517" t="s">
        <v>2375</v>
      </c>
    </row>
    <row r="518" spans="13:17" x14ac:dyDescent="0.25">
      <c r="M518" s="34">
        <v>159920</v>
      </c>
      <c r="N518" s="2" t="s">
        <v>527</v>
      </c>
      <c r="O518" s="2" t="s">
        <v>183</v>
      </c>
      <c r="P518" s="2" t="str">
        <f t="shared" si="11"/>
        <v>159920-MAQUINARIA Y EQUIPO-SUBCUENTA</v>
      </c>
      <c r="Q518" t="s">
        <v>2376</v>
      </c>
    </row>
    <row r="519" spans="13:17" x14ac:dyDescent="0.25">
      <c r="M519" s="34">
        <v>159924</v>
      </c>
      <c r="N519" s="2" t="s">
        <v>528</v>
      </c>
      <c r="O519" s="2" t="s">
        <v>183</v>
      </c>
      <c r="P519" s="2" t="str">
        <f t="shared" si="11"/>
        <v>159924-EQUIPO DE OFICINA-SUBCUENTA</v>
      </c>
      <c r="Q519" t="s">
        <v>2377</v>
      </c>
    </row>
    <row r="520" spans="13:17" x14ac:dyDescent="0.25">
      <c r="M520" s="34">
        <v>159928</v>
      </c>
      <c r="N520" s="2" t="s">
        <v>529</v>
      </c>
      <c r="O520" s="2" t="s">
        <v>183</v>
      </c>
      <c r="P520" s="2" t="str">
        <f t="shared" si="11"/>
        <v>159928-EQUIPO DE COMPUTACION Y COMUNICACION-SUBCUENTA</v>
      </c>
      <c r="Q520" t="s">
        <v>2378</v>
      </c>
    </row>
    <row r="521" spans="13:17" x14ac:dyDescent="0.25">
      <c r="M521" s="34">
        <v>159932</v>
      </c>
      <c r="N521" s="2" t="s">
        <v>629</v>
      </c>
      <c r="O521" s="2" t="s">
        <v>183</v>
      </c>
      <c r="P521" s="2" t="str">
        <f t="shared" si="11"/>
        <v>159932-EQUIPO MEDICO CIENTIFICO-SUBCUENTA</v>
      </c>
      <c r="Q521" t="s">
        <v>2379</v>
      </c>
    </row>
    <row r="522" spans="13:17" x14ac:dyDescent="0.25">
      <c r="M522" s="34">
        <v>159936</v>
      </c>
      <c r="N522" s="2" t="s">
        <v>531</v>
      </c>
      <c r="O522" s="2" t="s">
        <v>183</v>
      </c>
      <c r="P522" s="2" t="str">
        <f t="shared" si="11"/>
        <v>159936-EQUIPO DE HOTELES Y RESTAURANTES-SUBCUENTA</v>
      </c>
      <c r="Q522" t="s">
        <v>2380</v>
      </c>
    </row>
    <row r="523" spans="13:17" x14ac:dyDescent="0.25">
      <c r="M523" s="34">
        <v>159940</v>
      </c>
      <c r="N523" s="2" t="s">
        <v>532</v>
      </c>
      <c r="O523" s="2" t="s">
        <v>183</v>
      </c>
      <c r="P523" s="2" t="str">
        <f t="shared" si="11"/>
        <v>159940-FLOTA Y EQUIPO DE TRANSPORTE-SUBCUENTA</v>
      </c>
      <c r="Q523" t="s">
        <v>2381</v>
      </c>
    </row>
    <row r="524" spans="13:17" x14ac:dyDescent="0.25">
      <c r="M524" s="34">
        <v>159944</v>
      </c>
      <c r="N524" s="2" t="s">
        <v>533</v>
      </c>
      <c r="O524" s="2" t="s">
        <v>183</v>
      </c>
      <c r="P524" s="2" t="str">
        <f t="shared" si="11"/>
        <v>159944-FLOTA Y EQUIPO FLUVIAL Y/O MARITIMO-SUBCUENTA</v>
      </c>
      <c r="Q524" t="s">
        <v>2382</v>
      </c>
    </row>
    <row r="525" spans="13:17" x14ac:dyDescent="0.25">
      <c r="M525" s="34">
        <v>159948</v>
      </c>
      <c r="N525" s="2" t="s">
        <v>534</v>
      </c>
      <c r="O525" s="2" t="s">
        <v>183</v>
      </c>
      <c r="P525" s="2" t="str">
        <f t="shared" si="11"/>
        <v>159948-FLOTA Y EQUIPO AEREO-SUBCUENTA</v>
      </c>
      <c r="Q525" t="s">
        <v>2383</v>
      </c>
    </row>
    <row r="526" spans="13:17" x14ac:dyDescent="0.25">
      <c r="M526" s="34">
        <v>159952</v>
      </c>
      <c r="N526" s="2" t="s">
        <v>535</v>
      </c>
      <c r="O526" s="2" t="s">
        <v>183</v>
      </c>
      <c r="P526" s="2" t="str">
        <f t="shared" si="11"/>
        <v>159952-FLOTA Y EQUIPO FERREO-SUBCUENTA</v>
      </c>
      <c r="Q526" t="s">
        <v>2384</v>
      </c>
    </row>
    <row r="527" spans="13:17" x14ac:dyDescent="0.25">
      <c r="M527" s="34">
        <v>159956</v>
      </c>
      <c r="N527" s="2" t="s">
        <v>637</v>
      </c>
      <c r="O527" s="2" t="s">
        <v>183</v>
      </c>
      <c r="P527" s="2" t="str">
        <f t="shared" si="11"/>
        <v>159956-ACUEDUCTOS, PLANTAS Y REDES-SUBCUENTA</v>
      </c>
      <c r="Q527" t="s">
        <v>2385</v>
      </c>
    </row>
    <row r="528" spans="13:17" x14ac:dyDescent="0.25">
      <c r="M528" s="34">
        <v>159960</v>
      </c>
      <c r="N528" s="2" t="s">
        <v>616</v>
      </c>
      <c r="O528" s="2" t="s">
        <v>183</v>
      </c>
      <c r="P528" s="2" t="str">
        <f t="shared" si="11"/>
        <v>159960-ARMAMENTO DE VIGILANCIA-SUBCUENTA</v>
      </c>
      <c r="Q528" t="s">
        <v>2386</v>
      </c>
    </row>
    <row r="529" spans="13:17" x14ac:dyDescent="0.25">
      <c r="M529" s="34">
        <v>159962</v>
      </c>
      <c r="N529" s="2" t="s">
        <v>506</v>
      </c>
      <c r="O529" s="2" t="s">
        <v>183</v>
      </c>
      <c r="P529" s="2" t="str">
        <f t="shared" si="11"/>
        <v>159962-ENVASES Y EMPAQUES-SUBCUENTA</v>
      </c>
      <c r="Q529" t="s">
        <v>2387</v>
      </c>
    </row>
    <row r="530" spans="13:17" x14ac:dyDescent="0.25">
      <c r="M530" s="34">
        <v>159964</v>
      </c>
      <c r="N530" s="2" t="s">
        <v>617</v>
      </c>
      <c r="O530" s="2" t="s">
        <v>183</v>
      </c>
      <c r="P530" s="2" t="str">
        <f t="shared" si="11"/>
        <v>159964-PLANTACIONES AGRICOLAS Y FORESTALES-SUBCUENTA</v>
      </c>
      <c r="Q530" t="s">
        <v>2388</v>
      </c>
    </row>
    <row r="531" spans="13:17" x14ac:dyDescent="0.25">
      <c r="M531" s="34">
        <v>159968</v>
      </c>
      <c r="N531" s="2" t="s">
        <v>522</v>
      </c>
      <c r="O531" s="2" t="s">
        <v>183</v>
      </c>
      <c r="P531" s="2" t="str">
        <f t="shared" si="11"/>
        <v>159968-VIAS DE COMUNICACION-SUBCUENTA</v>
      </c>
      <c r="Q531" t="s">
        <v>2389</v>
      </c>
    </row>
    <row r="532" spans="13:17" x14ac:dyDescent="0.25">
      <c r="M532" s="34">
        <v>159972</v>
      </c>
      <c r="N532" s="2" t="s">
        <v>624</v>
      </c>
      <c r="O532" s="2" t="s">
        <v>183</v>
      </c>
      <c r="P532" s="2" t="str">
        <f t="shared" si="11"/>
        <v>159972-MINAS Y CANTERAS-SUBCUENTA</v>
      </c>
      <c r="Q532" t="s">
        <v>2390</v>
      </c>
    </row>
    <row r="533" spans="13:17" x14ac:dyDescent="0.25">
      <c r="M533" s="34">
        <v>159980</v>
      </c>
      <c r="N533" s="2" t="s">
        <v>523</v>
      </c>
      <c r="O533" s="2" t="s">
        <v>183</v>
      </c>
      <c r="P533" s="2" t="str">
        <f t="shared" si="11"/>
        <v>159980-POZOS ARTESIANOS-SUBCUENTA</v>
      </c>
      <c r="Q533" t="s">
        <v>2391</v>
      </c>
    </row>
    <row r="534" spans="13:17" x14ac:dyDescent="0.25">
      <c r="M534" s="34">
        <v>159984</v>
      </c>
      <c r="N534" s="2" t="s">
        <v>627</v>
      </c>
      <c r="O534" s="2" t="s">
        <v>183</v>
      </c>
      <c r="P534" s="2" t="str">
        <f t="shared" si="11"/>
        <v>159984-YACIMIENTOS-SUBCUENTA</v>
      </c>
      <c r="Q534" t="s">
        <v>2392</v>
      </c>
    </row>
    <row r="535" spans="13:17" x14ac:dyDescent="0.25">
      <c r="M535" s="34">
        <v>159988</v>
      </c>
      <c r="N535" s="2" t="s">
        <v>487</v>
      </c>
      <c r="O535" s="2" t="s">
        <v>183</v>
      </c>
      <c r="P535" s="2" t="str">
        <f t="shared" si="11"/>
        <v>159988-SEMOVIENTES-SUBCUENTA</v>
      </c>
      <c r="Q535" t="s">
        <v>2393</v>
      </c>
    </row>
    <row r="536" spans="13:17" x14ac:dyDescent="0.25">
      <c r="M536" s="34">
        <v>159992</v>
      </c>
      <c r="N536" s="2" t="s">
        <v>628</v>
      </c>
      <c r="O536" s="2" t="s">
        <v>183</v>
      </c>
      <c r="P536" s="2" t="str">
        <f t="shared" si="11"/>
        <v>159992-PROPIEDADES PLANTA Y EQUIPO EN TRANSITO-SUBCUENTA</v>
      </c>
      <c r="Q536" t="s">
        <v>2394</v>
      </c>
    </row>
    <row r="537" spans="13:17" x14ac:dyDescent="0.25">
      <c r="M537" s="34">
        <v>16</v>
      </c>
      <c r="N537" s="2" t="s">
        <v>638</v>
      </c>
      <c r="O537" s="2" t="s">
        <v>181</v>
      </c>
      <c r="P537" s="2" t="str">
        <f t="shared" si="11"/>
        <v>16-INTANGIBLES-GRUPO</v>
      </c>
      <c r="Q537" t="s">
        <v>2395</v>
      </c>
    </row>
    <row r="538" spans="13:17" x14ac:dyDescent="0.25">
      <c r="M538" s="34">
        <v>1605</v>
      </c>
      <c r="N538" s="2" t="s">
        <v>639</v>
      </c>
      <c r="O538" s="2" t="s">
        <v>182</v>
      </c>
      <c r="P538" s="2" t="str">
        <f t="shared" si="11"/>
        <v>1605-CREDITO MERCANTIL-CUENTA</v>
      </c>
      <c r="Q538" t="s">
        <v>2396</v>
      </c>
    </row>
    <row r="539" spans="13:17" x14ac:dyDescent="0.25">
      <c r="M539" s="34">
        <v>160505</v>
      </c>
      <c r="N539" s="2" t="s">
        <v>640</v>
      </c>
      <c r="O539" s="2" t="s">
        <v>183</v>
      </c>
      <c r="P539" s="2" t="str">
        <f t="shared" si="11"/>
        <v>160505-FORMADO O ESTIMADO-SUBCUENTA</v>
      </c>
      <c r="Q539" t="s">
        <v>2397</v>
      </c>
    </row>
    <row r="540" spans="13:17" x14ac:dyDescent="0.25">
      <c r="M540" s="34">
        <v>160510</v>
      </c>
      <c r="N540" s="2" t="s">
        <v>641</v>
      </c>
      <c r="O540" s="2" t="s">
        <v>183</v>
      </c>
      <c r="P540" s="2" t="str">
        <f t="shared" si="11"/>
        <v>160510-ADQUIRIDO O COMPRADO-SUBCUENTA</v>
      </c>
      <c r="Q540" t="s">
        <v>2398</v>
      </c>
    </row>
    <row r="541" spans="13:17" x14ac:dyDescent="0.25">
      <c r="M541" s="34">
        <v>160599</v>
      </c>
      <c r="N541" s="2" t="s">
        <v>367</v>
      </c>
      <c r="O541" s="2" t="s">
        <v>183</v>
      </c>
      <c r="P541" s="2" t="str">
        <f t="shared" si="11"/>
        <v>160599-AJUSTES POR INFLACION-SUBCUENTA</v>
      </c>
      <c r="Q541" t="s">
        <v>2399</v>
      </c>
    </row>
    <row r="542" spans="13:17" x14ac:dyDescent="0.25">
      <c r="M542" s="34">
        <v>1610</v>
      </c>
      <c r="N542" s="2" t="s">
        <v>642</v>
      </c>
      <c r="O542" s="2" t="s">
        <v>182</v>
      </c>
      <c r="P542" s="2" t="str">
        <f t="shared" si="11"/>
        <v>1610-MARCAS-CUENTA</v>
      </c>
      <c r="Q542" t="s">
        <v>2400</v>
      </c>
    </row>
    <row r="543" spans="13:17" x14ac:dyDescent="0.25">
      <c r="M543" s="34">
        <v>161005</v>
      </c>
      <c r="N543" s="2" t="s">
        <v>643</v>
      </c>
      <c r="O543" s="2" t="s">
        <v>183</v>
      </c>
      <c r="P543" s="2" t="str">
        <f t="shared" si="11"/>
        <v>161005-ADQUIRIDAS-SUBCUENTA</v>
      </c>
      <c r="Q543" t="s">
        <v>2401</v>
      </c>
    </row>
    <row r="544" spans="13:17" x14ac:dyDescent="0.25">
      <c r="M544" s="34">
        <v>161010</v>
      </c>
      <c r="N544" s="2" t="s">
        <v>644</v>
      </c>
      <c r="O544" s="2" t="s">
        <v>183</v>
      </c>
      <c r="P544" s="2" t="str">
        <f t="shared" si="11"/>
        <v>161010-FORMADAS-SUBCUENTA</v>
      </c>
      <c r="Q544" t="s">
        <v>2402</v>
      </c>
    </row>
    <row r="545" spans="13:17" x14ac:dyDescent="0.25">
      <c r="M545" s="34">
        <v>161099</v>
      </c>
      <c r="N545" s="2" t="s">
        <v>367</v>
      </c>
      <c r="O545" s="2" t="s">
        <v>183</v>
      </c>
      <c r="P545" s="2" t="str">
        <f t="shared" si="11"/>
        <v>161099-AJUSTES POR INFLACION-SUBCUENTA</v>
      </c>
      <c r="Q545" t="s">
        <v>2403</v>
      </c>
    </row>
    <row r="546" spans="13:17" x14ac:dyDescent="0.25">
      <c r="M546" s="34">
        <v>1615</v>
      </c>
      <c r="N546" s="2" t="s">
        <v>645</v>
      </c>
      <c r="O546" s="2" t="s">
        <v>182</v>
      </c>
      <c r="P546" s="2" t="str">
        <f t="shared" si="11"/>
        <v>1615-PATENTES-CUENTA</v>
      </c>
      <c r="Q546" t="s">
        <v>2404</v>
      </c>
    </row>
    <row r="547" spans="13:17" x14ac:dyDescent="0.25">
      <c r="M547" s="34">
        <v>161505</v>
      </c>
      <c r="N547" s="2" t="s">
        <v>643</v>
      </c>
      <c r="O547" s="2" t="s">
        <v>183</v>
      </c>
      <c r="P547" s="2" t="str">
        <f t="shared" si="11"/>
        <v>161505-ADQUIRIDAS-SUBCUENTA</v>
      </c>
      <c r="Q547" t="s">
        <v>2405</v>
      </c>
    </row>
    <row r="548" spans="13:17" x14ac:dyDescent="0.25">
      <c r="M548" s="34">
        <v>161510</v>
      </c>
      <c r="N548" s="2" t="s">
        <v>644</v>
      </c>
      <c r="O548" s="2" t="s">
        <v>183</v>
      </c>
      <c r="P548" s="2" t="str">
        <f t="shared" si="11"/>
        <v>161510-FORMADAS-SUBCUENTA</v>
      </c>
      <c r="Q548" t="s">
        <v>2406</v>
      </c>
    </row>
    <row r="549" spans="13:17" x14ac:dyDescent="0.25">
      <c r="M549" s="34">
        <v>161599</v>
      </c>
      <c r="N549" s="2" t="s">
        <v>367</v>
      </c>
      <c r="O549" s="2" t="s">
        <v>183</v>
      </c>
      <c r="P549" s="2" t="str">
        <f t="shared" si="11"/>
        <v>161599-AJUSTES POR INFLACION-SUBCUENTA</v>
      </c>
      <c r="Q549" t="s">
        <v>2407</v>
      </c>
    </row>
    <row r="550" spans="13:17" x14ac:dyDescent="0.25">
      <c r="M550" s="34">
        <v>1620</v>
      </c>
      <c r="N550" s="2" t="s">
        <v>646</v>
      </c>
      <c r="O550" s="2" t="s">
        <v>182</v>
      </c>
      <c r="P550" s="2" t="str">
        <f t="shared" si="11"/>
        <v>1620-CONCESIONES Y FRANQUICIAS-CUENTA</v>
      </c>
      <c r="Q550" t="s">
        <v>2408</v>
      </c>
    </row>
    <row r="551" spans="13:17" x14ac:dyDescent="0.25">
      <c r="M551" s="34">
        <v>162005</v>
      </c>
      <c r="N551" s="2" t="s">
        <v>647</v>
      </c>
      <c r="O551" s="2" t="s">
        <v>183</v>
      </c>
      <c r="P551" s="2" t="str">
        <f t="shared" si="11"/>
        <v>162005-CONCESIONES-SUBCUENTA</v>
      </c>
      <c r="Q551" t="s">
        <v>2409</v>
      </c>
    </row>
    <row r="552" spans="13:17" x14ac:dyDescent="0.25">
      <c r="M552" s="34">
        <v>162010</v>
      </c>
      <c r="N552" s="2" t="s">
        <v>648</v>
      </c>
      <c r="O552" s="2" t="s">
        <v>183</v>
      </c>
      <c r="P552" s="2" t="str">
        <f t="shared" si="11"/>
        <v>162010-FRANQUICIAS-SUBCUENTA</v>
      </c>
      <c r="Q552" t="s">
        <v>2410</v>
      </c>
    </row>
    <row r="553" spans="13:17" x14ac:dyDescent="0.25">
      <c r="M553" s="34">
        <v>162099</v>
      </c>
      <c r="N553" s="2" t="s">
        <v>367</v>
      </c>
      <c r="O553" s="2" t="s">
        <v>183</v>
      </c>
      <c r="P553" s="2" t="str">
        <f t="shared" si="11"/>
        <v>162099-AJUSTES POR INFLACION-SUBCUENTA</v>
      </c>
      <c r="Q553" t="s">
        <v>2411</v>
      </c>
    </row>
    <row r="554" spans="13:17" x14ac:dyDescent="0.25">
      <c r="M554" s="34">
        <v>1625</v>
      </c>
      <c r="N554" s="2" t="s">
        <v>649</v>
      </c>
      <c r="O554" s="2" t="s">
        <v>182</v>
      </c>
      <c r="P554" s="2" t="str">
        <f t="shared" si="11"/>
        <v>1625-DERECHOS-CUENTA</v>
      </c>
      <c r="Q554" t="s">
        <v>2412</v>
      </c>
    </row>
    <row r="555" spans="13:17" x14ac:dyDescent="0.25">
      <c r="M555" s="34">
        <v>162505</v>
      </c>
      <c r="N555" s="2" t="s">
        <v>650</v>
      </c>
      <c r="O555" s="2" t="s">
        <v>183</v>
      </c>
      <c r="P555" s="2" t="str">
        <f t="shared" si="11"/>
        <v>162505-DERECHOS DE AUTOR-SUBCUENTA</v>
      </c>
      <c r="Q555" t="s">
        <v>2413</v>
      </c>
    </row>
    <row r="556" spans="13:17" x14ac:dyDescent="0.25">
      <c r="M556" s="34">
        <v>162510</v>
      </c>
      <c r="N556" s="2" t="s">
        <v>651</v>
      </c>
      <c r="O556" s="2" t="s">
        <v>183</v>
      </c>
      <c r="P556" s="2" t="str">
        <f t="shared" si="11"/>
        <v>162510-PUESTO DE BOLSA-SUBCUENTA</v>
      </c>
      <c r="Q556" t="s">
        <v>2414</v>
      </c>
    </row>
    <row r="557" spans="13:17" x14ac:dyDescent="0.25">
      <c r="M557" s="34">
        <v>162515</v>
      </c>
      <c r="N557" s="2" t="s">
        <v>652</v>
      </c>
      <c r="O557" s="2" t="s">
        <v>183</v>
      </c>
      <c r="P557" s="2" t="str">
        <f t="shared" si="11"/>
        <v>162515-EN FIDEICOMISOS INMOBILIARIOS-SUBCUENTA</v>
      </c>
      <c r="Q557" t="s">
        <v>2415</v>
      </c>
    </row>
    <row r="558" spans="13:17" x14ac:dyDescent="0.25">
      <c r="M558" s="34">
        <v>162520</v>
      </c>
      <c r="N558" s="2" t="s">
        <v>653</v>
      </c>
      <c r="O558" s="2" t="s">
        <v>183</v>
      </c>
      <c r="P558" s="2" t="str">
        <f t="shared" si="11"/>
        <v>162520-EN FIDEICOMISOS DE GARANTIA-SUBCUENTA</v>
      </c>
      <c r="Q558" t="s">
        <v>2416</v>
      </c>
    </row>
    <row r="559" spans="13:17" x14ac:dyDescent="0.25">
      <c r="M559" s="34">
        <v>162525</v>
      </c>
      <c r="N559" s="2" t="s">
        <v>654</v>
      </c>
      <c r="O559" s="2" t="s">
        <v>183</v>
      </c>
      <c r="P559" s="2" t="str">
        <f t="shared" si="11"/>
        <v>162525-EN FIDEICOMISOS DE ADMINISTRACION-SUBCUENTA</v>
      </c>
      <c r="Q559" t="s">
        <v>2417</v>
      </c>
    </row>
    <row r="560" spans="13:17" x14ac:dyDescent="0.25">
      <c r="M560" s="34">
        <v>162595</v>
      </c>
      <c r="N560" s="2" t="s">
        <v>323</v>
      </c>
      <c r="O560" s="2" t="s">
        <v>183</v>
      </c>
      <c r="P560" s="2" t="str">
        <f t="shared" si="11"/>
        <v>162595-OTROS-SUBCUENTA</v>
      </c>
      <c r="Q560" t="s">
        <v>2418</v>
      </c>
    </row>
    <row r="561" spans="13:17" x14ac:dyDescent="0.25">
      <c r="M561" s="34">
        <v>162599</v>
      </c>
      <c r="N561" s="2" t="s">
        <v>367</v>
      </c>
      <c r="O561" s="2" t="s">
        <v>183</v>
      </c>
      <c r="P561" s="2" t="str">
        <f t="shared" si="11"/>
        <v>162599-AJUSTES POR INFLACION-SUBCUENTA</v>
      </c>
      <c r="Q561" t="s">
        <v>1577</v>
      </c>
    </row>
    <row r="562" spans="13:17" x14ac:dyDescent="0.25">
      <c r="M562" s="34">
        <v>1630</v>
      </c>
      <c r="N562" s="2" t="s">
        <v>655</v>
      </c>
      <c r="O562" s="2" t="s">
        <v>182</v>
      </c>
      <c r="P562" s="2" t="str">
        <f t="shared" si="11"/>
        <v>1630-KNOW HOW-CUENTA</v>
      </c>
      <c r="Q562" t="s">
        <v>2419</v>
      </c>
    </row>
    <row r="563" spans="13:17" x14ac:dyDescent="0.25">
      <c r="M563" s="34" t="s">
        <v>208</v>
      </c>
      <c r="N563" s="2" t="s">
        <v>188</v>
      </c>
      <c r="O563" s="2" t="s">
        <v>188</v>
      </c>
      <c r="P563" s="2" t="str">
        <f t="shared" si="11"/>
        <v xml:space="preserve">163001 a 163098 </v>
      </c>
      <c r="Q563" t="s">
        <v>2420</v>
      </c>
    </row>
    <row r="564" spans="13:17" x14ac:dyDescent="0.25">
      <c r="M564" s="34">
        <v>163099</v>
      </c>
      <c r="N564" s="2" t="s">
        <v>367</v>
      </c>
      <c r="O564" s="2" t="s">
        <v>183</v>
      </c>
      <c r="P564" s="2" t="str">
        <f t="shared" si="11"/>
        <v>163099-AJUSTES POR INFLACION-SUBCUENTA</v>
      </c>
      <c r="Q564" t="s">
        <v>2421</v>
      </c>
    </row>
    <row r="565" spans="13:17" x14ac:dyDescent="0.25">
      <c r="M565" s="34">
        <v>1635</v>
      </c>
      <c r="N565" s="2" t="s">
        <v>656</v>
      </c>
      <c r="O565" s="2" t="s">
        <v>182</v>
      </c>
      <c r="P565" s="2" t="str">
        <f t="shared" si="11"/>
        <v>1635-LICENCIAS-CUENTA</v>
      </c>
      <c r="Q565" t="s">
        <v>2422</v>
      </c>
    </row>
    <row r="566" spans="13:17" x14ac:dyDescent="0.25">
      <c r="M566" s="34" t="s">
        <v>209</v>
      </c>
      <c r="N566" s="2" t="s">
        <v>188</v>
      </c>
      <c r="O566" s="2" t="s">
        <v>188</v>
      </c>
      <c r="P566" s="2" t="str">
        <f t="shared" si="11"/>
        <v xml:space="preserve">163501 a 163598 </v>
      </c>
      <c r="Q566" t="s">
        <v>2423</v>
      </c>
    </row>
    <row r="567" spans="13:17" x14ac:dyDescent="0.25">
      <c r="M567" s="34">
        <v>163599</v>
      </c>
      <c r="N567" s="2" t="s">
        <v>367</v>
      </c>
      <c r="O567" s="2" t="s">
        <v>183</v>
      </c>
      <c r="P567" s="2" t="str">
        <f t="shared" si="11"/>
        <v>163599-AJUSTES POR INFLACION-SUBCUENTA</v>
      </c>
      <c r="Q567" t="s">
        <v>2424</v>
      </c>
    </row>
    <row r="568" spans="13:17" x14ac:dyDescent="0.25">
      <c r="M568" s="34">
        <v>1698</v>
      </c>
      <c r="N568" s="2" t="s">
        <v>634</v>
      </c>
      <c r="O568" s="2" t="s">
        <v>182</v>
      </c>
      <c r="P568" s="2" t="str">
        <f t="shared" si="11"/>
        <v>1698-AMORTIZACION ACUMULADA-CUENTA</v>
      </c>
      <c r="Q568" t="s">
        <v>2425</v>
      </c>
    </row>
    <row r="569" spans="13:17" x14ac:dyDescent="0.25">
      <c r="M569" s="34">
        <v>169805</v>
      </c>
      <c r="N569" s="2" t="s">
        <v>639</v>
      </c>
      <c r="O569" s="2" t="s">
        <v>183</v>
      </c>
      <c r="P569" s="2" t="str">
        <f t="shared" si="11"/>
        <v>169805-CREDITO MERCANTIL-SUBCUENTA</v>
      </c>
      <c r="Q569" t="s">
        <v>2426</v>
      </c>
    </row>
    <row r="570" spans="13:17" x14ac:dyDescent="0.25">
      <c r="M570" s="34">
        <v>169810</v>
      </c>
      <c r="N570" s="2" t="s">
        <v>642</v>
      </c>
      <c r="O570" s="2" t="s">
        <v>183</v>
      </c>
      <c r="P570" s="2" t="str">
        <f t="shared" si="11"/>
        <v>169810-MARCAS-SUBCUENTA</v>
      </c>
      <c r="Q570" t="s">
        <v>2427</v>
      </c>
    </row>
    <row r="571" spans="13:17" x14ac:dyDescent="0.25">
      <c r="M571" s="34">
        <v>169815</v>
      </c>
      <c r="N571" s="2" t="s">
        <v>645</v>
      </c>
      <c r="O571" s="2" t="s">
        <v>183</v>
      </c>
      <c r="P571" s="2" t="str">
        <f t="shared" si="11"/>
        <v>169815-PATENTES-SUBCUENTA</v>
      </c>
      <c r="Q571" t="s">
        <v>2428</v>
      </c>
    </row>
    <row r="572" spans="13:17" x14ac:dyDescent="0.25">
      <c r="M572" s="34">
        <v>169820</v>
      </c>
      <c r="N572" s="2" t="s">
        <v>646</v>
      </c>
      <c r="O572" s="2" t="s">
        <v>183</v>
      </c>
      <c r="P572" s="2" t="str">
        <f t="shared" si="11"/>
        <v>169820-CONCESIONES Y FRANQUICIAS-SUBCUENTA</v>
      </c>
      <c r="Q572" t="s">
        <v>2429</v>
      </c>
    </row>
    <row r="573" spans="13:17" x14ac:dyDescent="0.25">
      <c r="M573" s="34">
        <v>169830</v>
      </c>
      <c r="N573" s="2" t="s">
        <v>649</v>
      </c>
      <c r="O573" s="2" t="s">
        <v>183</v>
      </c>
      <c r="P573" s="2" t="str">
        <f t="shared" si="11"/>
        <v>169830-DERECHOS-SUBCUENTA</v>
      </c>
      <c r="Q573" t="s">
        <v>2430</v>
      </c>
    </row>
    <row r="574" spans="13:17" x14ac:dyDescent="0.25">
      <c r="M574" s="34">
        <v>169835</v>
      </c>
      <c r="N574" s="2" t="s">
        <v>655</v>
      </c>
      <c r="O574" s="2" t="s">
        <v>183</v>
      </c>
      <c r="P574" s="2" t="str">
        <f t="shared" si="11"/>
        <v>169835-KNOW HOW-SUBCUENTA</v>
      </c>
      <c r="Q574" t="s">
        <v>2431</v>
      </c>
    </row>
    <row r="575" spans="13:17" x14ac:dyDescent="0.25">
      <c r="M575" s="34">
        <v>169840</v>
      </c>
      <c r="N575" s="2" t="s">
        <v>656</v>
      </c>
      <c r="O575" s="2" t="s">
        <v>183</v>
      </c>
      <c r="P575" s="2" t="str">
        <f t="shared" si="11"/>
        <v>169840-LICENCIAS-SUBCUENTA</v>
      </c>
      <c r="Q575" t="s">
        <v>2432</v>
      </c>
    </row>
    <row r="576" spans="13:17" x14ac:dyDescent="0.25">
      <c r="M576" s="34">
        <v>169899</v>
      </c>
      <c r="N576" s="2" t="s">
        <v>367</v>
      </c>
      <c r="O576" s="2" t="s">
        <v>183</v>
      </c>
      <c r="P576" s="2" t="str">
        <f t="shared" si="11"/>
        <v>169899-AJUSTES POR INFLACION-SUBCUENTA</v>
      </c>
      <c r="Q576" t="s">
        <v>2433</v>
      </c>
    </row>
    <row r="577" spans="13:17" x14ac:dyDescent="0.25">
      <c r="M577" s="34">
        <v>1699</v>
      </c>
      <c r="N577" s="2" t="s">
        <v>379</v>
      </c>
      <c r="O577" s="2" t="s">
        <v>182</v>
      </c>
      <c r="P577" s="2" t="str">
        <f t="shared" si="11"/>
        <v>1699-PROVISIONES-CUENTA</v>
      </c>
      <c r="Q577" t="s">
        <v>2434</v>
      </c>
    </row>
    <row r="578" spans="13:17" x14ac:dyDescent="0.25">
      <c r="M578" s="34" t="s">
        <v>210</v>
      </c>
      <c r="N578" s="2" t="s">
        <v>188</v>
      </c>
      <c r="O578" s="2" t="s">
        <v>188</v>
      </c>
      <c r="P578" s="2" t="str">
        <f t="shared" si="11"/>
        <v xml:space="preserve">169901 a 169998 </v>
      </c>
      <c r="Q578" t="s">
        <v>2435</v>
      </c>
    </row>
    <row r="579" spans="13:17" x14ac:dyDescent="0.25">
      <c r="M579" s="34">
        <v>17</v>
      </c>
      <c r="N579" s="2" t="s">
        <v>657</v>
      </c>
      <c r="O579" s="2" t="s">
        <v>181</v>
      </c>
      <c r="P579" s="2" t="str">
        <f t="shared" si="11"/>
        <v>17-DIFERIDOS-GRUPO</v>
      </c>
      <c r="Q579" t="s">
        <v>2436</v>
      </c>
    </row>
    <row r="580" spans="13:17" x14ac:dyDescent="0.25">
      <c r="M580" s="34">
        <v>1705</v>
      </c>
      <c r="N580" s="2" t="s">
        <v>658</v>
      </c>
      <c r="O580" s="2" t="s">
        <v>182</v>
      </c>
      <c r="P580" s="2" t="str">
        <f t="shared" ref="P580:P643" si="12">IF(AND(M580&lt;&gt;"",N580&lt;&gt;"",O580&lt;&gt;""),M580&amp;"-"&amp;N580&amp;"-"&amp;O580,IF(AND(M580="",N580&lt;&gt;"",O580&lt;&gt;""),N580&amp;"-"&amp;O580,IF(AND(M580&lt;&gt;"",N580="",O580&lt;&gt;""),M580&amp;"-"&amp;O580,IF(AND(M580&lt;&gt;"",N580&lt;&gt;"",O580=""),M580&amp;"-"&amp;N580,IF(AND(M580&lt;&gt;"",N580="",O580=""),M580,"")))))</f>
        <v>1705-GASTOS PAGADOS POR ANTICIPADO-CUENTA</v>
      </c>
      <c r="Q580" t="s">
        <v>2437</v>
      </c>
    </row>
    <row r="581" spans="13:17" x14ac:dyDescent="0.25">
      <c r="M581" s="34">
        <v>170505</v>
      </c>
      <c r="N581" s="2" t="s">
        <v>431</v>
      </c>
      <c r="O581" s="2" t="s">
        <v>183</v>
      </c>
      <c r="P581" s="2" t="str">
        <f t="shared" si="12"/>
        <v>170505-INTERESES-SUBCUENTA</v>
      </c>
      <c r="Q581" t="s">
        <v>2438</v>
      </c>
    </row>
    <row r="582" spans="13:17" x14ac:dyDescent="0.25">
      <c r="M582" s="34">
        <v>170510</v>
      </c>
      <c r="N582" s="2" t="s">
        <v>433</v>
      </c>
      <c r="O582" s="2" t="s">
        <v>183</v>
      </c>
      <c r="P582" s="2" t="str">
        <f t="shared" si="12"/>
        <v>170510-HONORARIOS-SUBCUENTA</v>
      </c>
      <c r="Q582" t="s">
        <v>2439</v>
      </c>
    </row>
    <row r="583" spans="13:17" x14ac:dyDescent="0.25">
      <c r="M583" s="34">
        <v>170515</v>
      </c>
      <c r="N583" s="2" t="s">
        <v>432</v>
      </c>
      <c r="O583" s="2" t="s">
        <v>183</v>
      </c>
      <c r="P583" s="2" t="str">
        <f t="shared" si="12"/>
        <v>170515-COMISIONES-SUBCUENTA</v>
      </c>
      <c r="Q583" t="s">
        <v>2440</v>
      </c>
    </row>
    <row r="584" spans="13:17" x14ac:dyDescent="0.25">
      <c r="M584" s="34">
        <v>170520</v>
      </c>
      <c r="N584" s="2" t="s">
        <v>659</v>
      </c>
      <c r="O584" s="2" t="s">
        <v>183</v>
      </c>
      <c r="P584" s="2" t="str">
        <f t="shared" si="12"/>
        <v>170520-SEGUROS Y FIANZAS-SUBCUENTA</v>
      </c>
      <c r="Q584" t="s">
        <v>2441</v>
      </c>
    </row>
    <row r="585" spans="13:17" x14ac:dyDescent="0.25">
      <c r="M585" s="34">
        <v>170525</v>
      </c>
      <c r="N585" s="2" t="s">
        <v>435</v>
      </c>
      <c r="O585" s="2" t="s">
        <v>183</v>
      </c>
      <c r="P585" s="2" t="str">
        <f t="shared" si="12"/>
        <v>170525-ARRENDAMIENTOS-SUBCUENTA</v>
      </c>
      <c r="Q585" t="s">
        <v>2442</v>
      </c>
    </row>
    <row r="586" spans="13:17" x14ac:dyDescent="0.25">
      <c r="M586" s="34">
        <v>170530</v>
      </c>
      <c r="N586" s="2" t="s">
        <v>660</v>
      </c>
      <c r="O586" s="2" t="s">
        <v>183</v>
      </c>
      <c r="P586" s="2" t="str">
        <f t="shared" si="12"/>
        <v>170530-BODEGAJES-SUBCUENTA</v>
      </c>
      <c r="Q586" t="s">
        <v>2443</v>
      </c>
    </row>
    <row r="587" spans="13:17" x14ac:dyDescent="0.25">
      <c r="M587" s="34">
        <v>170535</v>
      </c>
      <c r="N587" s="2" t="s">
        <v>661</v>
      </c>
      <c r="O587" s="2" t="s">
        <v>183</v>
      </c>
      <c r="P587" s="2" t="str">
        <f t="shared" si="12"/>
        <v>170535-MANTENIMIENTO EQUIPOS-SUBCUENTA</v>
      </c>
      <c r="Q587" t="s">
        <v>2444</v>
      </c>
    </row>
    <row r="588" spans="13:17" x14ac:dyDescent="0.25">
      <c r="M588" s="34">
        <v>170540</v>
      </c>
      <c r="N588" s="2" t="s">
        <v>434</v>
      </c>
      <c r="O588" s="2" t="s">
        <v>183</v>
      </c>
      <c r="P588" s="2" t="str">
        <f t="shared" si="12"/>
        <v>170540-SERVICIOS-SUBCUENTA</v>
      </c>
      <c r="Q588" t="s">
        <v>2445</v>
      </c>
    </row>
    <row r="589" spans="13:17" x14ac:dyDescent="0.25">
      <c r="M589" s="34">
        <v>170545</v>
      </c>
      <c r="N589" s="2" t="s">
        <v>662</v>
      </c>
      <c r="O589" s="2" t="s">
        <v>183</v>
      </c>
      <c r="P589" s="2" t="str">
        <f t="shared" si="12"/>
        <v>170545-SUSCRIPCIONES-SUBCUENTA</v>
      </c>
      <c r="Q589" t="s">
        <v>1572</v>
      </c>
    </row>
    <row r="590" spans="13:17" x14ac:dyDescent="0.25">
      <c r="M590" s="34">
        <v>170595</v>
      </c>
      <c r="N590" s="2" t="s">
        <v>323</v>
      </c>
      <c r="O590" s="2" t="s">
        <v>183</v>
      </c>
      <c r="P590" s="2" t="str">
        <f t="shared" si="12"/>
        <v>170595-OTROS-SUBCUENTA</v>
      </c>
      <c r="Q590" t="s">
        <v>2446</v>
      </c>
    </row>
    <row r="591" spans="13:17" x14ac:dyDescent="0.25">
      <c r="M591" s="34">
        <v>1710</v>
      </c>
      <c r="N591" s="2" t="s">
        <v>663</v>
      </c>
      <c r="O591" s="2" t="s">
        <v>182</v>
      </c>
      <c r="P591" s="2" t="str">
        <f t="shared" si="12"/>
        <v>1710-CARGOS DIFERIDOS-CUENTA</v>
      </c>
      <c r="Q591" t="s">
        <v>2447</v>
      </c>
    </row>
    <row r="592" spans="13:17" x14ac:dyDescent="0.25">
      <c r="M592" s="34">
        <v>171004</v>
      </c>
      <c r="N592" s="2" t="s">
        <v>664</v>
      </c>
      <c r="O592" s="2" t="s">
        <v>183</v>
      </c>
      <c r="P592" s="2" t="str">
        <f t="shared" si="12"/>
        <v>171004-ORGANIZACION Y PREOPERATIVOS-SUBCUENTA</v>
      </c>
      <c r="Q592" t="s">
        <v>2448</v>
      </c>
    </row>
    <row r="593" spans="13:17" x14ac:dyDescent="0.25">
      <c r="M593" s="34">
        <v>171008</v>
      </c>
      <c r="N593" s="2" t="s">
        <v>665</v>
      </c>
      <c r="O593" s="2" t="s">
        <v>183</v>
      </c>
      <c r="P593" s="2" t="str">
        <f t="shared" si="12"/>
        <v>171008-REMODELACIONES-SUBCUENTA</v>
      </c>
      <c r="Q593" t="s">
        <v>2449</v>
      </c>
    </row>
    <row r="594" spans="13:17" x14ac:dyDescent="0.25">
      <c r="M594" s="34">
        <v>171012</v>
      </c>
      <c r="N594" s="2" t="s">
        <v>666</v>
      </c>
      <c r="O594" s="2" t="s">
        <v>183</v>
      </c>
      <c r="P594" s="2" t="str">
        <f t="shared" si="12"/>
        <v>171012-ESTUDIOS, INVESTIGACIONES Y PROYECTOS-SUBCUENTA</v>
      </c>
      <c r="Q594" t="s">
        <v>2450</v>
      </c>
    </row>
    <row r="595" spans="13:17" x14ac:dyDescent="0.25">
      <c r="M595" s="34">
        <v>171016</v>
      </c>
      <c r="N595" s="2" t="s">
        <v>667</v>
      </c>
      <c r="O595" s="2" t="s">
        <v>183</v>
      </c>
      <c r="P595" s="2" t="str">
        <f t="shared" si="12"/>
        <v>171016-PROGRAMAS PARA COMPUTADOR (SOFTWARE)-SUBCUENTA</v>
      </c>
      <c r="Q595" t="s">
        <v>2451</v>
      </c>
    </row>
    <row r="596" spans="13:17" x14ac:dyDescent="0.25">
      <c r="M596" s="34">
        <v>171020</v>
      </c>
      <c r="N596" s="2" t="s">
        <v>668</v>
      </c>
      <c r="O596" s="2" t="s">
        <v>183</v>
      </c>
      <c r="P596" s="2" t="str">
        <f t="shared" si="12"/>
        <v>171020-UTILES Y PAPELERIA-SUBCUENTA</v>
      </c>
      <c r="Q596" t="s">
        <v>2452</v>
      </c>
    </row>
    <row r="597" spans="13:17" x14ac:dyDescent="0.25">
      <c r="M597" s="34">
        <v>171024</v>
      </c>
      <c r="N597" s="2" t="s">
        <v>669</v>
      </c>
      <c r="O597" s="2" t="s">
        <v>183</v>
      </c>
      <c r="P597" s="2" t="str">
        <f t="shared" si="12"/>
        <v>171024-MEJORAS A PROPIEDADES AJENAS-SUBCUENTA</v>
      </c>
      <c r="Q597" t="s">
        <v>2453</v>
      </c>
    </row>
    <row r="598" spans="13:17" x14ac:dyDescent="0.25">
      <c r="M598" s="34">
        <v>171028</v>
      </c>
      <c r="N598" s="2" t="s">
        <v>670</v>
      </c>
      <c r="O598" s="2" t="s">
        <v>183</v>
      </c>
      <c r="P598" s="2" t="str">
        <f t="shared" si="12"/>
        <v>171028-CONTRIBUCIONES Y AFILIACIONES-SUBCUENTA</v>
      </c>
      <c r="Q598" t="s">
        <v>2454</v>
      </c>
    </row>
    <row r="599" spans="13:17" x14ac:dyDescent="0.25">
      <c r="M599" s="34">
        <v>171032</v>
      </c>
      <c r="N599" s="2" t="s">
        <v>671</v>
      </c>
      <c r="O599" s="2" t="s">
        <v>183</v>
      </c>
      <c r="P599" s="2" t="str">
        <f t="shared" si="12"/>
        <v>171032-ENTRENAMIENTO DE PERSONAL-SUBCUENTA</v>
      </c>
      <c r="Q599" t="s">
        <v>2455</v>
      </c>
    </row>
    <row r="600" spans="13:17" x14ac:dyDescent="0.25">
      <c r="M600" s="34">
        <v>171036</v>
      </c>
      <c r="N600" s="2" t="s">
        <v>672</v>
      </c>
      <c r="O600" s="2" t="s">
        <v>183</v>
      </c>
      <c r="P600" s="2" t="str">
        <f t="shared" si="12"/>
        <v>171036-FERIAS Y EXPOSICIONES-SUBCUENTA</v>
      </c>
      <c r="Q600" t="s">
        <v>2456</v>
      </c>
    </row>
    <row r="601" spans="13:17" x14ac:dyDescent="0.25">
      <c r="M601" s="34">
        <v>171040</v>
      </c>
      <c r="N601" s="2" t="s">
        <v>656</v>
      </c>
      <c r="O601" s="2" t="s">
        <v>183</v>
      </c>
      <c r="P601" s="2" t="str">
        <f t="shared" si="12"/>
        <v>171040-LICENCIAS-SUBCUENTA</v>
      </c>
      <c r="Q601" t="s">
        <v>166</v>
      </c>
    </row>
    <row r="602" spans="13:17" x14ac:dyDescent="0.25">
      <c r="M602" s="34">
        <v>171044</v>
      </c>
      <c r="N602" s="2" t="s">
        <v>673</v>
      </c>
      <c r="O602" s="2" t="s">
        <v>183</v>
      </c>
      <c r="P602" s="2" t="str">
        <f t="shared" si="12"/>
        <v>171044-PUBLICIDAD, PROPAGANDA Y AVISOS-SUBCUENTA</v>
      </c>
      <c r="Q602" t="s">
        <v>2457</v>
      </c>
    </row>
    <row r="603" spans="13:17" x14ac:dyDescent="0.25">
      <c r="M603" s="34">
        <v>171048</v>
      </c>
      <c r="N603" s="2" t="s">
        <v>674</v>
      </c>
      <c r="O603" s="2" t="s">
        <v>183</v>
      </c>
      <c r="P603" s="2" t="str">
        <f t="shared" si="12"/>
        <v>171048-ELEMENTOS DE ASEO Y CAFETERIA-SUBCUENTA</v>
      </c>
      <c r="Q603" t="s">
        <v>2458</v>
      </c>
    </row>
    <row r="604" spans="13:17" x14ac:dyDescent="0.25">
      <c r="M604" s="34">
        <v>171052</v>
      </c>
      <c r="N604" s="2" t="s">
        <v>675</v>
      </c>
      <c r="O604" s="2" t="s">
        <v>183</v>
      </c>
      <c r="P604" s="2" t="str">
        <f t="shared" si="12"/>
        <v>171052-MOLDES Y TROQUELES-SUBCUENTA</v>
      </c>
      <c r="Q604" t="s">
        <v>2459</v>
      </c>
    </row>
    <row r="605" spans="13:17" x14ac:dyDescent="0.25">
      <c r="M605" s="34">
        <v>171056</v>
      </c>
      <c r="N605" s="2" t="s">
        <v>503</v>
      </c>
      <c r="O605" s="2" t="s">
        <v>183</v>
      </c>
      <c r="P605" s="2" t="str">
        <f t="shared" si="12"/>
        <v>171056-INSTRUMENTAL QUIRURGICO-SUBCUENTA</v>
      </c>
      <c r="Q605" t="s">
        <v>2460</v>
      </c>
    </row>
    <row r="606" spans="13:17" x14ac:dyDescent="0.25">
      <c r="M606" s="34">
        <v>171060</v>
      </c>
      <c r="N606" s="2" t="s">
        <v>504</v>
      </c>
      <c r="O606" s="2" t="s">
        <v>183</v>
      </c>
      <c r="P606" s="2" t="str">
        <f t="shared" si="12"/>
        <v>171060-DOTACION Y SUMINISTRO A TRABAJADORES-SUBCUENTA</v>
      </c>
      <c r="Q606" t="s">
        <v>2461</v>
      </c>
    </row>
    <row r="607" spans="13:17" x14ac:dyDescent="0.25">
      <c r="M607" s="34">
        <v>171064</v>
      </c>
      <c r="N607" s="2" t="s">
        <v>505</v>
      </c>
      <c r="O607" s="2" t="s">
        <v>183</v>
      </c>
      <c r="P607" s="2" t="str">
        <f t="shared" si="12"/>
        <v>171064-ELEMENTOS DE ROPERIA Y LENCERIA-SUBCUENTA</v>
      </c>
      <c r="Q607" t="s">
        <v>2462</v>
      </c>
    </row>
    <row r="608" spans="13:17" x14ac:dyDescent="0.25">
      <c r="M608" s="34">
        <v>171068</v>
      </c>
      <c r="N608" s="2" t="s">
        <v>499</v>
      </c>
      <c r="O608" s="2" t="s">
        <v>183</v>
      </c>
      <c r="P608" s="2" t="str">
        <f t="shared" si="12"/>
        <v>171068-LOZA Y CRISTALERIA-SUBCUENTA</v>
      </c>
      <c r="Q608" t="s">
        <v>2463</v>
      </c>
    </row>
    <row r="609" spans="13:17" x14ac:dyDescent="0.25">
      <c r="M609" s="34">
        <v>171072</v>
      </c>
      <c r="N609" s="2" t="s">
        <v>676</v>
      </c>
      <c r="O609" s="2" t="s">
        <v>183</v>
      </c>
      <c r="P609" s="2" t="str">
        <f t="shared" si="12"/>
        <v>171072-DESCUENTO EN COLOCACION DE BONOS-SUBCUENTA</v>
      </c>
      <c r="Q609" t="s">
        <v>2464</v>
      </c>
    </row>
    <row r="610" spans="13:17" x14ac:dyDescent="0.25">
      <c r="M610" s="34">
        <v>171076</v>
      </c>
      <c r="N610" s="2" t="s">
        <v>677</v>
      </c>
      <c r="O610" s="2" t="s">
        <v>183</v>
      </c>
      <c r="P610" s="2" t="str">
        <f t="shared" si="12"/>
        <v>171076-IMPUESTO DE RENTA DIFERIDO "DEBITOS" POR DIFERENCIAS TEMPORALES-SUBCUENTA</v>
      </c>
      <c r="Q610" t="s">
        <v>2465</v>
      </c>
    </row>
    <row r="611" spans="13:17" x14ac:dyDescent="0.25">
      <c r="M611" s="34">
        <v>171080</v>
      </c>
      <c r="N611" s="2" t="s">
        <v>678</v>
      </c>
      <c r="O611" s="2" t="s">
        <v>183</v>
      </c>
      <c r="P611" s="2" t="str">
        <f t="shared" si="12"/>
        <v>171080-CONCURSOS Y LICITACIONES-SUBCUENTA</v>
      </c>
      <c r="Q611" t="s">
        <v>2466</v>
      </c>
    </row>
    <row r="612" spans="13:17" x14ac:dyDescent="0.25">
      <c r="M612" s="34">
        <v>171095</v>
      </c>
      <c r="N612" s="2" t="s">
        <v>323</v>
      </c>
      <c r="O612" s="2" t="s">
        <v>183</v>
      </c>
      <c r="P612" s="2" t="str">
        <f t="shared" si="12"/>
        <v>171095-OTROS-SUBCUENTA</v>
      </c>
      <c r="Q612" t="s">
        <v>2467</v>
      </c>
    </row>
    <row r="613" spans="13:17" x14ac:dyDescent="0.25">
      <c r="M613" s="34">
        <v>171099</v>
      </c>
      <c r="N613" s="2" t="s">
        <v>367</v>
      </c>
      <c r="O613" s="2" t="s">
        <v>183</v>
      </c>
      <c r="P613" s="2" t="str">
        <f t="shared" si="12"/>
        <v>171099-AJUSTES POR INFLACION-SUBCUENTA</v>
      </c>
      <c r="Q613" t="s">
        <v>2468</v>
      </c>
    </row>
    <row r="614" spans="13:17" x14ac:dyDescent="0.25">
      <c r="M614" s="34">
        <v>1715</v>
      </c>
      <c r="N614" s="2" t="s">
        <v>679</v>
      </c>
      <c r="O614" s="2" t="s">
        <v>182</v>
      </c>
      <c r="P614" s="2" t="str">
        <f t="shared" si="12"/>
        <v>1715-COSTOS DE EXPLORACION POR AMORTIZAR-CUENTA</v>
      </c>
      <c r="Q614" t="s">
        <v>2469</v>
      </c>
    </row>
    <row r="615" spans="13:17" x14ac:dyDescent="0.25">
      <c r="M615" s="34">
        <v>171505</v>
      </c>
      <c r="N615" s="2" t="s">
        <v>680</v>
      </c>
      <c r="O615" s="2" t="s">
        <v>183</v>
      </c>
      <c r="P615" s="2" t="str">
        <f t="shared" si="12"/>
        <v>171505-POZOS SECOS-SUBCUENTA</v>
      </c>
      <c r="Q615" t="s">
        <v>2470</v>
      </c>
    </row>
    <row r="616" spans="13:17" x14ac:dyDescent="0.25">
      <c r="M616" s="34">
        <v>171510</v>
      </c>
      <c r="N616" s="2" t="s">
        <v>681</v>
      </c>
      <c r="O616" s="2" t="s">
        <v>183</v>
      </c>
      <c r="P616" s="2" t="str">
        <f t="shared" si="12"/>
        <v>171510-POZOS NO COMERCIALES-SUBCUENTA</v>
      </c>
      <c r="Q616" t="s">
        <v>2471</v>
      </c>
    </row>
    <row r="617" spans="13:17" x14ac:dyDescent="0.25">
      <c r="M617" s="34">
        <v>171515</v>
      </c>
      <c r="N617" s="2" t="s">
        <v>682</v>
      </c>
      <c r="O617" s="2" t="s">
        <v>183</v>
      </c>
      <c r="P617" s="2" t="str">
        <f t="shared" si="12"/>
        <v>171515-OTROS COSTOS DE EXPLORACION-SUBCUENTA</v>
      </c>
      <c r="Q617" t="s">
        <v>2472</v>
      </c>
    </row>
    <row r="618" spans="13:17" x14ac:dyDescent="0.25">
      <c r="M618" s="34">
        <v>171599</v>
      </c>
      <c r="N618" s="2" t="s">
        <v>367</v>
      </c>
      <c r="O618" s="2" t="s">
        <v>183</v>
      </c>
      <c r="P618" s="2" t="str">
        <f t="shared" si="12"/>
        <v>171599-AJUSTES POR INFLACION-SUBCUENTA</v>
      </c>
      <c r="Q618" t="s">
        <v>2473</v>
      </c>
    </row>
    <row r="619" spans="13:17" x14ac:dyDescent="0.25">
      <c r="M619" s="34">
        <v>1720</v>
      </c>
      <c r="N619" s="2" t="s">
        <v>683</v>
      </c>
      <c r="O619" s="2" t="s">
        <v>182</v>
      </c>
      <c r="P619" s="2" t="str">
        <f t="shared" si="12"/>
        <v>1720-COSTOS DE EXPLOTACION Y DESARROLLO-CUENTA</v>
      </c>
      <c r="Q619" t="s">
        <v>1560</v>
      </c>
    </row>
    <row r="620" spans="13:17" x14ac:dyDescent="0.25">
      <c r="M620" s="34">
        <v>172005</v>
      </c>
      <c r="N620" s="2" t="s">
        <v>684</v>
      </c>
      <c r="O620" s="2" t="s">
        <v>183</v>
      </c>
      <c r="P620" s="2" t="str">
        <f t="shared" si="12"/>
        <v>172005-PERFORACION Y EXPLOTACION-SUBCUENTA</v>
      </c>
      <c r="Q620" t="s">
        <v>2474</v>
      </c>
    </row>
    <row r="621" spans="13:17" x14ac:dyDescent="0.25">
      <c r="M621" s="34">
        <v>172010</v>
      </c>
      <c r="N621" s="2" t="s">
        <v>685</v>
      </c>
      <c r="O621" s="2" t="s">
        <v>183</v>
      </c>
      <c r="P621" s="2" t="str">
        <f t="shared" si="12"/>
        <v>172010-PERFORACIONES CAMPOS EN DESARROLLO-SUBCUENTA</v>
      </c>
      <c r="Q621" t="s">
        <v>2475</v>
      </c>
    </row>
    <row r="622" spans="13:17" x14ac:dyDescent="0.25">
      <c r="M622" s="34">
        <v>172015</v>
      </c>
      <c r="N622" s="2" t="s">
        <v>686</v>
      </c>
      <c r="O622" s="2" t="s">
        <v>183</v>
      </c>
      <c r="P622" s="2" t="str">
        <f t="shared" si="12"/>
        <v>172015-FACILIDADES DE PRODUCCION-SUBCUENTA</v>
      </c>
      <c r="Q622" t="s">
        <v>2476</v>
      </c>
    </row>
    <row r="623" spans="13:17" x14ac:dyDescent="0.25">
      <c r="M623" s="34">
        <v>172020</v>
      </c>
      <c r="N623" s="2" t="s">
        <v>687</v>
      </c>
      <c r="O623" s="2" t="s">
        <v>183</v>
      </c>
      <c r="P623" s="2" t="str">
        <f t="shared" si="12"/>
        <v>172020-SERVICIO A POZOS-SUBCUENTA</v>
      </c>
      <c r="Q623" t="s">
        <v>2477</v>
      </c>
    </row>
    <row r="624" spans="13:17" x14ac:dyDescent="0.25">
      <c r="M624" s="34">
        <v>172099</v>
      </c>
      <c r="N624" s="2" t="s">
        <v>367</v>
      </c>
      <c r="O624" s="2" t="s">
        <v>183</v>
      </c>
      <c r="P624" s="2" t="str">
        <f t="shared" si="12"/>
        <v>172099-AJUSTES POR INFLACION-SUBCUENTA</v>
      </c>
      <c r="Q624" t="s">
        <v>2478</v>
      </c>
    </row>
    <row r="625" spans="13:17" x14ac:dyDescent="0.25">
      <c r="M625" s="34">
        <v>1730</v>
      </c>
      <c r="N625" s="2" t="s">
        <v>688</v>
      </c>
      <c r="O625" s="2" t="s">
        <v>182</v>
      </c>
      <c r="P625" s="2" t="str">
        <f t="shared" si="12"/>
        <v>1730-CARGOS POR CORRECCION MONETARIA DIFERIDA-CUENTA</v>
      </c>
      <c r="Q625" t="s">
        <v>2479</v>
      </c>
    </row>
    <row r="626" spans="13:17" x14ac:dyDescent="0.25">
      <c r="M626" s="34" t="s">
        <v>211</v>
      </c>
      <c r="N626" s="2" t="s">
        <v>188</v>
      </c>
      <c r="O626" s="2" t="s">
        <v>188</v>
      </c>
      <c r="P626" s="2" t="str">
        <f t="shared" si="12"/>
        <v xml:space="preserve">173001 a 173098 </v>
      </c>
      <c r="Q626" t="s">
        <v>2480</v>
      </c>
    </row>
    <row r="627" spans="13:17" x14ac:dyDescent="0.25">
      <c r="M627" s="34">
        <v>1798</v>
      </c>
      <c r="N627" s="2" t="s">
        <v>634</v>
      </c>
      <c r="O627" s="2" t="s">
        <v>182</v>
      </c>
      <c r="P627" s="2" t="str">
        <f t="shared" si="12"/>
        <v>1798-AMORTIZACION ACUMULADA-CUENTA</v>
      </c>
      <c r="Q627" t="s">
        <v>2481</v>
      </c>
    </row>
    <row r="628" spans="13:17" x14ac:dyDescent="0.25">
      <c r="M628" s="34">
        <v>179805</v>
      </c>
      <c r="N628" s="2" t="s">
        <v>679</v>
      </c>
      <c r="O628" s="2" t="s">
        <v>183</v>
      </c>
      <c r="P628" s="2" t="str">
        <f t="shared" si="12"/>
        <v>179805-COSTOS DE EXPLORACION POR AMORTIZAR-SUBCUENTA</v>
      </c>
      <c r="Q628" t="s">
        <v>2482</v>
      </c>
    </row>
    <row r="629" spans="13:17" x14ac:dyDescent="0.25">
      <c r="M629" s="34">
        <v>179810</v>
      </c>
      <c r="N629" s="2" t="s">
        <v>683</v>
      </c>
      <c r="O629" s="2" t="s">
        <v>183</v>
      </c>
      <c r="P629" s="2" t="str">
        <f t="shared" si="12"/>
        <v>179810-COSTOS DE EXPLOTACION Y DESARROLLO-SUBCUENTA</v>
      </c>
      <c r="Q629" t="s">
        <v>2483</v>
      </c>
    </row>
    <row r="630" spans="13:17" x14ac:dyDescent="0.25">
      <c r="M630" s="34">
        <v>179899</v>
      </c>
      <c r="N630" s="2" t="s">
        <v>367</v>
      </c>
      <c r="O630" s="2" t="s">
        <v>183</v>
      </c>
      <c r="P630" s="2" t="str">
        <f t="shared" si="12"/>
        <v>179899-AJUSTES POR INFLACION-SUBCUENTA</v>
      </c>
      <c r="Q630" t="s">
        <v>2484</v>
      </c>
    </row>
    <row r="631" spans="13:17" x14ac:dyDescent="0.25">
      <c r="M631" s="34">
        <v>18</v>
      </c>
      <c r="N631" s="2" t="s">
        <v>689</v>
      </c>
      <c r="O631" s="2" t="s">
        <v>181</v>
      </c>
      <c r="P631" s="2" t="str">
        <f t="shared" si="12"/>
        <v>18-OTROS ACTIVOS-GRUPO</v>
      </c>
      <c r="Q631" t="s">
        <v>2485</v>
      </c>
    </row>
    <row r="632" spans="13:17" x14ac:dyDescent="0.25">
      <c r="M632" s="34">
        <v>1805</v>
      </c>
      <c r="N632" s="2" t="s">
        <v>690</v>
      </c>
      <c r="O632" s="2" t="s">
        <v>182</v>
      </c>
      <c r="P632" s="2" t="str">
        <f t="shared" si="12"/>
        <v>1805-BIENES DE ARTE Y CULTURA-CUENTA</v>
      </c>
      <c r="Q632" t="s">
        <v>2486</v>
      </c>
    </row>
    <row r="633" spans="13:17" x14ac:dyDescent="0.25">
      <c r="M633" s="34">
        <v>180505</v>
      </c>
      <c r="N633" s="2" t="s">
        <v>691</v>
      </c>
      <c r="O633" s="2" t="s">
        <v>183</v>
      </c>
      <c r="P633" s="2" t="str">
        <f t="shared" si="12"/>
        <v>180505-OBRAS DE ARTE-SUBCUENTA</v>
      </c>
      <c r="Q633" t="s">
        <v>2487</v>
      </c>
    </row>
    <row r="634" spans="13:17" x14ac:dyDescent="0.25">
      <c r="M634" s="34">
        <v>180510</v>
      </c>
      <c r="N634" s="2" t="s">
        <v>692</v>
      </c>
      <c r="O634" s="2" t="s">
        <v>183</v>
      </c>
      <c r="P634" s="2" t="str">
        <f t="shared" si="12"/>
        <v>180510-BIBLIOTECAS-SUBCUENTA</v>
      </c>
      <c r="Q634" t="s">
        <v>2488</v>
      </c>
    </row>
    <row r="635" spans="13:17" x14ac:dyDescent="0.25">
      <c r="M635" s="34">
        <v>180595</v>
      </c>
      <c r="N635" s="2" t="s">
        <v>323</v>
      </c>
      <c r="O635" s="2" t="s">
        <v>183</v>
      </c>
      <c r="P635" s="2" t="str">
        <f t="shared" si="12"/>
        <v>180595-OTROS-SUBCUENTA</v>
      </c>
      <c r="Q635" t="s">
        <v>2489</v>
      </c>
    </row>
    <row r="636" spans="13:17" x14ac:dyDescent="0.25">
      <c r="M636" s="34">
        <v>180599</v>
      </c>
      <c r="N636" s="2" t="s">
        <v>367</v>
      </c>
      <c r="O636" s="2" t="s">
        <v>183</v>
      </c>
      <c r="P636" s="2" t="str">
        <f t="shared" si="12"/>
        <v>180599-AJUSTES POR INFLACION-SUBCUENTA</v>
      </c>
      <c r="Q636" t="s">
        <v>2490</v>
      </c>
    </row>
    <row r="637" spans="13:17" x14ac:dyDescent="0.25">
      <c r="M637" s="34">
        <v>1895</v>
      </c>
      <c r="N637" s="2" t="s">
        <v>693</v>
      </c>
      <c r="O637" s="2" t="s">
        <v>182</v>
      </c>
      <c r="P637" s="2" t="str">
        <f t="shared" si="12"/>
        <v>1895-DIVERSOS-CUENTA</v>
      </c>
      <c r="Q637" t="s">
        <v>2491</v>
      </c>
    </row>
    <row r="638" spans="13:17" x14ac:dyDescent="0.25">
      <c r="M638" s="34">
        <v>189505</v>
      </c>
      <c r="N638" s="2" t="s">
        <v>694</v>
      </c>
      <c r="O638" s="2" t="s">
        <v>183</v>
      </c>
      <c r="P638" s="2" t="str">
        <f t="shared" si="12"/>
        <v>189505-MAQUINAS PORTEADORAS-SUBCUENTA</v>
      </c>
      <c r="Q638" t="s">
        <v>2492</v>
      </c>
    </row>
    <row r="639" spans="13:17" x14ac:dyDescent="0.25">
      <c r="M639" s="34">
        <v>189510</v>
      </c>
      <c r="N639" s="2" t="s">
        <v>695</v>
      </c>
      <c r="O639" s="2" t="s">
        <v>183</v>
      </c>
      <c r="P639" s="2" t="str">
        <f t="shared" si="12"/>
        <v>189510-BIENES ENTREGADOS EN COMODATO-SUBCUENTA</v>
      </c>
      <c r="Q639" t="s">
        <v>2493</v>
      </c>
    </row>
    <row r="640" spans="13:17" x14ac:dyDescent="0.25">
      <c r="M640" s="34">
        <v>189515</v>
      </c>
      <c r="N640" s="2" t="s">
        <v>696</v>
      </c>
      <c r="O640" s="2" t="s">
        <v>183</v>
      </c>
      <c r="P640" s="2" t="str">
        <f t="shared" si="12"/>
        <v>189515-AMORTIZACION ACUMULADA DE BIENES ENTREGADOS EN COMODATO (CR)-SUBCUENTA</v>
      </c>
      <c r="Q640" t="s">
        <v>2494</v>
      </c>
    </row>
    <row r="641" spans="13:17" x14ac:dyDescent="0.25">
      <c r="M641" s="34">
        <v>189520</v>
      </c>
      <c r="N641" s="2" t="s">
        <v>697</v>
      </c>
      <c r="O641" s="2" t="s">
        <v>183</v>
      </c>
      <c r="P641" s="2" t="str">
        <f t="shared" si="12"/>
        <v>189520-BIENES RECIBIDOS EN PAGO-SUBCUENTA</v>
      </c>
      <c r="Q641" t="s">
        <v>2495</v>
      </c>
    </row>
    <row r="642" spans="13:17" x14ac:dyDescent="0.25">
      <c r="M642" s="34">
        <v>189525</v>
      </c>
      <c r="N642" s="2" t="s">
        <v>698</v>
      </c>
      <c r="O642" s="2" t="s">
        <v>183</v>
      </c>
      <c r="P642" s="2" t="str">
        <f t="shared" si="12"/>
        <v>189525-DERECHOS SUCESORALES-SUBCUENTA</v>
      </c>
      <c r="Q642" t="s">
        <v>2496</v>
      </c>
    </row>
    <row r="643" spans="13:17" x14ac:dyDescent="0.25">
      <c r="M643" s="34">
        <v>189530</v>
      </c>
      <c r="N643" s="2" t="s">
        <v>699</v>
      </c>
      <c r="O643" s="2" t="s">
        <v>183</v>
      </c>
      <c r="P643" s="2" t="str">
        <f t="shared" si="12"/>
        <v>189530-ESTAMPILLAS-SUBCUENTA</v>
      </c>
      <c r="Q643" t="s">
        <v>2497</v>
      </c>
    </row>
    <row r="644" spans="13:17" x14ac:dyDescent="0.25">
      <c r="M644" s="34">
        <v>189595</v>
      </c>
      <c r="N644" s="2" t="s">
        <v>323</v>
      </c>
      <c r="O644" s="2" t="s">
        <v>183</v>
      </c>
      <c r="P644" s="2" t="str">
        <f t="shared" ref="P644:P707" si="13">IF(AND(M644&lt;&gt;"",N644&lt;&gt;"",O644&lt;&gt;""),M644&amp;"-"&amp;N644&amp;"-"&amp;O644,IF(AND(M644="",N644&lt;&gt;"",O644&lt;&gt;""),N644&amp;"-"&amp;O644,IF(AND(M644&lt;&gt;"",N644="",O644&lt;&gt;""),M644&amp;"-"&amp;O644,IF(AND(M644&lt;&gt;"",N644&lt;&gt;"",O644=""),M644&amp;"-"&amp;N644,IF(AND(M644&lt;&gt;"",N644="",O644=""),M644,"")))))</f>
        <v>189595-OTROS-SUBCUENTA</v>
      </c>
      <c r="Q644" t="s">
        <v>2498</v>
      </c>
    </row>
    <row r="645" spans="13:17" x14ac:dyDescent="0.25">
      <c r="M645" s="34">
        <v>189599</v>
      </c>
      <c r="N645" s="2" t="s">
        <v>367</v>
      </c>
      <c r="O645" s="2" t="s">
        <v>183</v>
      </c>
      <c r="P645" s="2" t="str">
        <f t="shared" si="13"/>
        <v>189599-AJUSTES POR INFLACION-SUBCUENTA</v>
      </c>
      <c r="Q645" t="s">
        <v>2499</v>
      </c>
    </row>
    <row r="646" spans="13:17" x14ac:dyDescent="0.25">
      <c r="M646" s="34">
        <v>1899</v>
      </c>
      <c r="N646" s="2" t="s">
        <v>379</v>
      </c>
      <c r="O646" s="2" t="s">
        <v>182</v>
      </c>
      <c r="P646" s="2" t="str">
        <f t="shared" si="13"/>
        <v>1899-PROVISIONES-CUENTA</v>
      </c>
      <c r="Q646" t="s">
        <v>2500</v>
      </c>
    </row>
    <row r="647" spans="13:17" x14ac:dyDescent="0.25">
      <c r="M647" s="34">
        <v>189905</v>
      </c>
      <c r="N647" s="2" t="s">
        <v>690</v>
      </c>
      <c r="O647" s="2" t="s">
        <v>183</v>
      </c>
      <c r="P647" s="2" t="str">
        <f t="shared" si="13"/>
        <v>189905-BIENES DE ARTE Y CULTURA-SUBCUENTA</v>
      </c>
      <c r="Q647" t="s">
        <v>2501</v>
      </c>
    </row>
    <row r="648" spans="13:17" x14ac:dyDescent="0.25">
      <c r="M648" s="34">
        <v>189995</v>
      </c>
      <c r="N648" s="2" t="s">
        <v>693</v>
      </c>
      <c r="O648" s="2" t="s">
        <v>183</v>
      </c>
      <c r="P648" s="2" t="str">
        <f t="shared" si="13"/>
        <v>189995-DIVERSOS-SUBCUENTA</v>
      </c>
      <c r="Q648" t="s">
        <v>2502</v>
      </c>
    </row>
    <row r="649" spans="13:17" x14ac:dyDescent="0.25">
      <c r="M649" s="34">
        <v>19</v>
      </c>
      <c r="N649" s="2" t="s">
        <v>700</v>
      </c>
      <c r="O649" s="2" t="s">
        <v>181</v>
      </c>
      <c r="P649" s="2" t="str">
        <f t="shared" si="13"/>
        <v>19-VALORIZACIONES-GRUPO</v>
      </c>
      <c r="Q649" t="s">
        <v>2503</v>
      </c>
    </row>
    <row r="650" spans="13:17" x14ac:dyDescent="0.25">
      <c r="M650" s="34">
        <v>1905</v>
      </c>
      <c r="N650" s="2" t="s">
        <v>701</v>
      </c>
      <c r="O650" s="2" t="s">
        <v>182</v>
      </c>
      <c r="P650" s="2" t="str">
        <f t="shared" si="13"/>
        <v>1905-DE INVERSIONES-CUENTA</v>
      </c>
      <c r="Q650" t="s">
        <v>2504</v>
      </c>
    </row>
    <row r="651" spans="13:17" x14ac:dyDescent="0.25">
      <c r="M651" s="34">
        <v>190505</v>
      </c>
      <c r="N651" s="2" t="s">
        <v>320</v>
      </c>
      <c r="O651" s="2" t="s">
        <v>183</v>
      </c>
      <c r="P651" s="2" t="str">
        <f t="shared" si="13"/>
        <v>190505-ACCIONES-SUBCUENTA</v>
      </c>
      <c r="Q651" t="s">
        <v>2505</v>
      </c>
    </row>
    <row r="652" spans="13:17" x14ac:dyDescent="0.25">
      <c r="M652" s="34">
        <v>190510</v>
      </c>
      <c r="N652" s="2" t="s">
        <v>321</v>
      </c>
      <c r="O652" s="2" t="s">
        <v>183</v>
      </c>
      <c r="P652" s="2" t="str">
        <f t="shared" si="13"/>
        <v>190510-CUOTAS O PARTES DE INTERES SOCIAL-SUBCUENTA</v>
      </c>
      <c r="Q652" t="s">
        <v>2506</v>
      </c>
    </row>
    <row r="653" spans="13:17" x14ac:dyDescent="0.25">
      <c r="M653" s="34">
        <v>190515</v>
      </c>
      <c r="N653" s="2" t="s">
        <v>362</v>
      </c>
      <c r="O653" s="2" t="s">
        <v>183</v>
      </c>
      <c r="P653" s="2" t="str">
        <f t="shared" si="13"/>
        <v>190515-DERECHOS FIDUCIARIOS-SUBCUENTA</v>
      </c>
      <c r="Q653" t="s">
        <v>2507</v>
      </c>
    </row>
    <row r="654" spans="13:17" x14ac:dyDescent="0.25">
      <c r="M654" s="34">
        <v>1910</v>
      </c>
      <c r="N654" s="2" t="s">
        <v>702</v>
      </c>
      <c r="O654" s="2" t="s">
        <v>182</v>
      </c>
      <c r="P654" s="2" t="str">
        <f t="shared" si="13"/>
        <v>1910-DE PROPIEDADES PLANTA Y EQUIPO-CUENTA</v>
      </c>
      <c r="Q654" t="s">
        <v>2508</v>
      </c>
    </row>
    <row r="655" spans="13:17" x14ac:dyDescent="0.25">
      <c r="M655" s="34">
        <v>191004</v>
      </c>
      <c r="N655" s="2" t="s">
        <v>490</v>
      </c>
      <c r="O655" s="2" t="s">
        <v>183</v>
      </c>
      <c r="P655" s="2" t="str">
        <f t="shared" si="13"/>
        <v>191004-TERRENOS-SUBCUENTA</v>
      </c>
      <c r="Q655" t="s">
        <v>2509</v>
      </c>
    </row>
    <row r="656" spans="13:17" x14ac:dyDescent="0.25">
      <c r="M656" s="34">
        <v>191006</v>
      </c>
      <c r="N656" s="2" t="s">
        <v>515</v>
      </c>
      <c r="O656" s="2" t="s">
        <v>183</v>
      </c>
      <c r="P656" s="2" t="str">
        <f t="shared" si="13"/>
        <v>191006-MATERIALES PROYECTOS PETROLEROS-SUBCUENTA</v>
      </c>
      <c r="Q656" t="s">
        <v>1565</v>
      </c>
    </row>
    <row r="657" spans="13:17" x14ac:dyDescent="0.25">
      <c r="M657" s="34">
        <v>191008</v>
      </c>
      <c r="N657" s="2" t="s">
        <v>520</v>
      </c>
      <c r="O657" s="2" t="s">
        <v>183</v>
      </c>
      <c r="P657" s="2" t="str">
        <f t="shared" si="13"/>
        <v>191008-CONSTRUCCIONES Y EDIFICACIONES-SUBCUENTA</v>
      </c>
      <c r="Q657" t="s">
        <v>2510</v>
      </c>
    </row>
    <row r="658" spans="13:17" x14ac:dyDescent="0.25">
      <c r="M658" s="34">
        <v>191012</v>
      </c>
      <c r="N658" s="2" t="s">
        <v>527</v>
      </c>
      <c r="O658" s="2" t="s">
        <v>183</v>
      </c>
      <c r="P658" s="2" t="str">
        <f t="shared" si="13"/>
        <v>191012-MAQUINARIA Y EQUIPO-SUBCUENTA</v>
      </c>
      <c r="Q658" t="s">
        <v>2511</v>
      </c>
    </row>
    <row r="659" spans="13:17" x14ac:dyDescent="0.25">
      <c r="M659" s="34">
        <v>191016</v>
      </c>
      <c r="N659" s="2" t="s">
        <v>528</v>
      </c>
      <c r="O659" s="2" t="s">
        <v>183</v>
      </c>
      <c r="P659" s="2" t="str">
        <f t="shared" si="13"/>
        <v>191016-EQUIPO DE OFICINA-SUBCUENTA</v>
      </c>
      <c r="Q659" t="s">
        <v>2512</v>
      </c>
    </row>
    <row r="660" spans="13:17" x14ac:dyDescent="0.25">
      <c r="M660" s="34">
        <v>191020</v>
      </c>
      <c r="N660" s="2" t="s">
        <v>529</v>
      </c>
      <c r="O660" s="2" t="s">
        <v>183</v>
      </c>
      <c r="P660" s="2" t="str">
        <f t="shared" si="13"/>
        <v>191020-EQUIPO DE COMPUTACION Y COMUNICACION-SUBCUENTA</v>
      </c>
      <c r="Q660" t="s">
        <v>2513</v>
      </c>
    </row>
    <row r="661" spans="13:17" x14ac:dyDescent="0.25">
      <c r="M661" s="34">
        <v>191024</v>
      </c>
      <c r="N661" s="2" t="s">
        <v>629</v>
      </c>
      <c r="O661" s="2" t="s">
        <v>183</v>
      </c>
      <c r="P661" s="2" t="str">
        <f t="shared" si="13"/>
        <v>191024-EQUIPO MEDICO CIENTIFICO-SUBCUENTA</v>
      </c>
      <c r="Q661" t="s">
        <v>2514</v>
      </c>
    </row>
    <row r="662" spans="13:17" x14ac:dyDescent="0.25">
      <c r="M662" s="34">
        <v>191028</v>
      </c>
      <c r="N662" s="2" t="s">
        <v>531</v>
      </c>
      <c r="O662" s="2" t="s">
        <v>183</v>
      </c>
      <c r="P662" s="2" t="str">
        <f t="shared" si="13"/>
        <v>191028-EQUIPO DE HOTELES Y RESTAURANTES-SUBCUENTA</v>
      </c>
      <c r="Q662" t="s">
        <v>2515</v>
      </c>
    </row>
    <row r="663" spans="13:17" x14ac:dyDescent="0.25">
      <c r="M663" s="34">
        <v>191032</v>
      </c>
      <c r="N663" s="2" t="s">
        <v>532</v>
      </c>
      <c r="O663" s="2" t="s">
        <v>183</v>
      </c>
      <c r="P663" s="2" t="str">
        <f t="shared" si="13"/>
        <v>191032-FLOTA Y EQUIPO DE TRANSPORTE-SUBCUENTA</v>
      </c>
      <c r="Q663" t="s">
        <v>2516</v>
      </c>
    </row>
    <row r="664" spans="13:17" x14ac:dyDescent="0.25">
      <c r="M664" s="34">
        <v>191036</v>
      </c>
      <c r="N664" s="2" t="s">
        <v>533</v>
      </c>
      <c r="O664" s="2" t="s">
        <v>183</v>
      </c>
      <c r="P664" s="2" t="str">
        <f t="shared" si="13"/>
        <v>191036-FLOTA Y EQUIPO FLUVIAL Y/O MARITIMO-SUBCUENTA</v>
      </c>
      <c r="Q664" t="s">
        <v>2517</v>
      </c>
    </row>
    <row r="665" spans="13:17" x14ac:dyDescent="0.25">
      <c r="M665" s="34">
        <v>191040</v>
      </c>
      <c r="N665" s="2" t="s">
        <v>534</v>
      </c>
      <c r="O665" s="2" t="s">
        <v>183</v>
      </c>
      <c r="P665" s="2" t="str">
        <f t="shared" si="13"/>
        <v>191040-FLOTA Y EQUIPO AEREO-SUBCUENTA</v>
      </c>
      <c r="Q665" t="s">
        <v>2518</v>
      </c>
    </row>
    <row r="666" spans="13:17" x14ac:dyDescent="0.25">
      <c r="M666" s="34">
        <v>191044</v>
      </c>
      <c r="N666" s="2" t="s">
        <v>535</v>
      </c>
      <c r="O666" s="2" t="s">
        <v>183</v>
      </c>
      <c r="P666" s="2" t="str">
        <f t="shared" si="13"/>
        <v>191044-FLOTA Y EQUIPO FERREO-SUBCUENTA</v>
      </c>
      <c r="Q666" t="s">
        <v>2519</v>
      </c>
    </row>
    <row r="667" spans="13:17" x14ac:dyDescent="0.25">
      <c r="M667" s="34">
        <v>191048</v>
      </c>
      <c r="N667" s="2" t="s">
        <v>521</v>
      </c>
      <c r="O667" s="2" t="s">
        <v>183</v>
      </c>
      <c r="P667" s="2" t="str">
        <f t="shared" si="13"/>
        <v>191048-ACUEDUCTOS PLANTAS Y REDES-SUBCUENTA</v>
      </c>
      <c r="Q667" t="s">
        <v>2520</v>
      </c>
    </row>
    <row r="668" spans="13:17" x14ac:dyDescent="0.25">
      <c r="M668" s="34">
        <v>191052</v>
      </c>
      <c r="N668" s="2" t="s">
        <v>616</v>
      </c>
      <c r="O668" s="2" t="s">
        <v>183</v>
      </c>
      <c r="P668" s="2" t="str">
        <f t="shared" si="13"/>
        <v>191052-ARMAMENTO DE VIGILANCIA-SUBCUENTA</v>
      </c>
      <c r="Q668" t="s">
        <v>2521</v>
      </c>
    </row>
    <row r="669" spans="13:17" x14ac:dyDescent="0.25">
      <c r="M669" s="34">
        <v>191056</v>
      </c>
      <c r="N669" s="2" t="s">
        <v>506</v>
      </c>
      <c r="O669" s="2" t="s">
        <v>183</v>
      </c>
      <c r="P669" s="2" t="str">
        <f t="shared" si="13"/>
        <v>191056-ENVASES Y EMPAQUES-SUBCUENTA</v>
      </c>
      <c r="Q669" t="s">
        <v>2522</v>
      </c>
    </row>
    <row r="670" spans="13:17" x14ac:dyDescent="0.25">
      <c r="M670" s="34">
        <v>191060</v>
      </c>
      <c r="N670" s="2" t="s">
        <v>617</v>
      </c>
      <c r="O670" s="2" t="s">
        <v>183</v>
      </c>
      <c r="P670" s="2" t="str">
        <f t="shared" si="13"/>
        <v>191060-PLANTACIONES AGRICOLAS Y FORESTALES-SUBCUENTA</v>
      </c>
      <c r="Q670" t="s">
        <v>2523</v>
      </c>
    </row>
    <row r="671" spans="13:17" x14ac:dyDescent="0.25">
      <c r="M671" s="34">
        <v>191064</v>
      </c>
      <c r="N671" s="2" t="s">
        <v>522</v>
      </c>
      <c r="O671" s="2" t="s">
        <v>183</v>
      </c>
      <c r="P671" s="2" t="str">
        <f t="shared" si="13"/>
        <v>191064-VIAS DE COMUNICACION-SUBCUENTA</v>
      </c>
      <c r="Q671" t="s">
        <v>2524</v>
      </c>
    </row>
    <row r="672" spans="13:17" x14ac:dyDescent="0.25">
      <c r="M672" s="34">
        <v>191068</v>
      </c>
      <c r="N672" s="2" t="s">
        <v>624</v>
      </c>
      <c r="O672" s="2" t="s">
        <v>183</v>
      </c>
      <c r="P672" s="2" t="str">
        <f t="shared" si="13"/>
        <v>191068-MINAS Y CANTERAS-SUBCUENTA</v>
      </c>
      <c r="Q672" t="s">
        <v>1574</v>
      </c>
    </row>
    <row r="673" spans="13:17" x14ac:dyDescent="0.25">
      <c r="M673" s="34">
        <v>191072</v>
      </c>
      <c r="N673" s="2" t="s">
        <v>523</v>
      </c>
      <c r="O673" s="2" t="s">
        <v>183</v>
      </c>
      <c r="P673" s="2" t="str">
        <f t="shared" si="13"/>
        <v>191072-POZOS ARTESIANOS-SUBCUENTA</v>
      </c>
      <c r="Q673" t="s">
        <v>2525</v>
      </c>
    </row>
    <row r="674" spans="13:17" x14ac:dyDescent="0.25">
      <c r="M674" s="34">
        <v>191076</v>
      </c>
      <c r="N674" s="2" t="s">
        <v>627</v>
      </c>
      <c r="O674" s="2" t="s">
        <v>183</v>
      </c>
      <c r="P674" s="2" t="str">
        <f t="shared" si="13"/>
        <v>191076-YACIMIENTOS-SUBCUENTA</v>
      </c>
      <c r="Q674" t="s">
        <v>2526</v>
      </c>
    </row>
    <row r="675" spans="13:17" x14ac:dyDescent="0.25">
      <c r="M675" s="34">
        <v>191080</v>
      </c>
      <c r="N675" s="2" t="s">
        <v>487</v>
      </c>
      <c r="O675" s="2" t="s">
        <v>183</v>
      </c>
      <c r="P675" s="2" t="str">
        <f t="shared" si="13"/>
        <v>191080-SEMOVIENTES-SUBCUENTA</v>
      </c>
      <c r="Q675" t="s">
        <v>2527</v>
      </c>
    </row>
    <row r="676" spans="13:17" x14ac:dyDescent="0.25">
      <c r="M676" s="34">
        <v>1995</v>
      </c>
      <c r="N676" s="2" t="s">
        <v>703</v>
      </c>
      <c r="O676" s="2" t="s">
        <v>182</v>
      </c>
      <c r="P676" s="2" t="str">
        <f t="shared" si="13"/>
        <v>1995-DE OTROS ACTIVOS-CUENTA</v>
      </c>
      <c r="Q676" t="s">
        <v>2528</v>
      </c>
    </row>
    <row r="677" spans="13:17" x14ac:dyDescent="0.25">
      <c r="M677" s="34">
        <v>199505</v>
      </c>
      <c r="N677" s="2" t="s">
        <v>690</v>
      </c>
      <c r="O677" s="2" t="s">
        <v>183</v>
      </c>
      <c r="P677" s="2" t="str">
        <f t="shared" si="13"/>
        <v>199505-BIENES DE ARTE Y CULTURA-SUBCUENTA</v>
      </c>
      <c r="Q677" t="s">
        <v>2529</v>
      </c>
    </row>
    <row r="678" spans="13:17" x14ac:dyDescent="0.25">
      <c r="M678" s="34">
        <v>199510</v>
      </c>
      <c r="N678" s="2" t="s">
        <v>695</v>
      </c>
      <c r="O678" s="2" t="s">
        <v>183</v>
      </c>
      <c r="P678" s="2" t="str">
        <f t="shared" si="13"/>
        <v>199510-BIENES ENTREGADOS EN COMODATO-SUBCUENTA</v>
      </c>
      <c r="Q678" t="s">
        <v>2530</v>
      </c>
    </row>
    <row r="679" spans="13:17" x14ac:dyDescent="0.25">
      <c r="M679" s="34">
        <v>199515</v>
      </c>
      <c r="N679" s="2" t="s">
        <v>697</v>
      </c>
      <c r="O679" s="2" t="s">
        <v>183</v>
      </c>
      <c r="P679" s="2" t="str">
        <f t="shared" si="13"/>
        <v>199515-BIENES RECIBIDOS EN PAGO-SUBCUENTA</v>
      </c>
      <c r="Q679" t="s">
        <v>2531</v>
      </c>
    </row>
    <row r="680" spans="13:17" x14ac:dyDescent="0.25">
      <c r="M680" s="34">
        <v>199520</v>
      </c>
      <c r="N680" s="2" t="s">
        <v>704</v>
      </c>
      <c r="O680" s="2" t="s">
        <v>183</v>
      </c>
      <c r="P680" s="2" t="str">
        <f t="shared" si="13"/>
        <v>199520-INVENTARIO DE SEMOVIENTES-SUBCUENTA</v>
      </c>
      <c r="Q680" t="s">
        <v>2532</v>
      </c>
    </row>
    <row r="681" spans="13:17" x14ac:dyDescent="0.25">
      <c r="M681" s="34">
        <v>2</v>
      </c>
      <c r="N681" s="2" t="s">
        <v>705</v>
      </c>
      <c r="O681" s="2" t="s">
        <v>180</v>
      </c>
      <c r="P681" s="2" t="str">
        <f t="shared" si="13"/>
        <v>2-PASIVO-CLASE</v>
      </c>
      <c r="Q681" t="s">
        <v>2533</v>
      </c>
    </row>
    <row r="682" spans="13:17" x14ac:dyDescent="0.25">
      <c r="M682" s="34">
        <v>21</v>
      </c>
      <c r="N682" s="2" t="s">
        <v>706</v>
      </c>
      <c r="O682" s="2" t="s">
        <v>181</v>
      </c>
      <c r="P682" s="2" t="str">
        <f t="shared" si="13"/>
        <v>21-OBLIGACIONES FINANCIERAS-GRUPO</v>
      </c>
      <c r="Q682" t="s">
        <v>2534</v>
      </c>
    </row>
    <row r="683" spans="13:17" x14ac:dyDescent="0.25">
      <c r="M683" s="34">
        <v>2105</v>
      </c>
      <c r="N683" s="2" t="s">
        <v>707</v>
      </c>
      <c r="O683" s="2" t="s">
        <v>182</v>
      </c>
      <c r="P683" s="2" t="str">
        <f t="shared" si="13"/>
        <v>2105-BANCOS NACIONALES-CUENTA</v>
      </c>
      <c r="Q683" t="s">
        <v>2535</v>
      </c>
    </row>
    <row r="684" spans="13:17" x14ac:dyDescent="0.25">
      <c r="M684" s="34">
        <v>210505</v>
      </c>
      <c r="N684" s="2" t="s">
        <v>708</v>
      </c>
      <c r="O684" s="2" t="s">
        <v>183</v>
      </c>
      <c r="P684" s="2" t="str">
        <f t="shared" si="13"/>
        <v>210505-SOBREGIROS-SUBCUENTA</v>
      </c>
      <c r="Q684" t="s">
        <v>2536</v>
      </c>
    </row>
    <row r="685" spans="13:17" x14ac:dyDescent="0.25">
      <c r="M685" s="34">
        <v>210510</v>
      </c>
      <c r="N685" s="2" t="s">
        <v>709</v>
      </c>
      <c r="O685" s="2" t="s">
        <v>183</v>
      </c>
      <c r="P685" s="2" t="str">
        <f t="shared" si="13"/>
        <v>210510-PAGARES-SUBCUENTA</v>
      </c>
      <c r="Q685" t="s">
        <v>2537</v>
      </c>
    </row>
    <row r="686" spans="13:17" x14ac:dyDescent="0.25">
      <c r="M686" s="34">
        <v>210515</v>
      </c>
      <c r="N686" s="2" t="s">
        <v>710</v>
      </c>
      <c r="O686" s="2" t="s">
        <v>183</v>
      </c>
      <c r="P686" s="2" t="str">
        <f t="shared" si="13"/>
        <v>210515-CARTAS DE CREDITO-SUBCUENTA</v>
      </c>
      <c r="Q686" t="s">
        <v>2538</v>
      </c>
    </row>
    <row r="687" spans="13:17" x14ac:dyDescent="0.25">
      <c r="M687" s="34">
        <v>210520</v>
      </c>
      <c r="N687" s="2" t="s">
        <v>711</v>
      </c>
      <c r="O687" s="2" t="s">
        <v>183</v>
      </c>
      <c r="P687" s="2" t="str">
        <f t="shared" si="13"/>
        <v>210520-ACEPTACIONES BANCARIAS-SUBCUENTA</v>
      </c>
      <c r="Q687" t="s">
        <v>2539</v>
      </c>
    </row>
    <row r="688" spans="13:17" x14ac:dyDescent="0.25">
      <c r="M688" s="34">
        <v>2110</v>
      </c>
      <c r="N688" s="2" t="s">
        <v>712</v>
      </c>
      <c r="O688" s="2" t="s">
        <v>182</v>
      </c>
      <c r="P688" s="2" t="str">
        <f t="shared" si="13"/>
        <v>2110-BANCOS DEL EXTERIOR-CUENTA</v>
      </c>
      <c r="Q688" t="s">
        <v>2540</v>
      </c>
    </row>
    <row r="689" spans="13:17" x14ac:dyDescent="0.25">
      <c r="M689" s="34">
        <v>211005</v>
      </c>
      <c r="N689" s="2" t="s">
        <v>708</v>
      </c>
      <c r="O689" s="2" t="s">
        <v>183</v>
      </c>
      <c r="P689" s="2" t="str">
        <f t="shared" si="13"/>
        <v>211005-SOBREGIROS-SUBCUENTA</v>
      </c>
      <c r="Q689" t="s">
        <v>2541</v>
      </c>
    </row>
    <row r="690" spans="13:17" x14ac:dyDescent="0.25">
      <c r="M690" s="34">
        <v>211010</v>
      </c>
      <c r="N690" s="2" t="s">
        <v>709</v>
      </c>
      <c r="O690" s="2" t="s">
        <v>183</v>
      </c>
      <c r="P690" s="2" t="str">
        <f t="shared" si="13"/>
        <v>211010-PAGARES-SUBCUENTA</v>
      </c>
      <c r="Q690" t="s">
        <v>2542</v>
      </c>
    </row>
    <row r="691" spans="13:17" x14ac:dyDescent="0.25">
      <c r="M691" s="34">
        <v>211015</v>
      </c>
      <c r="N691" s="2" t="s">
        <v>710</v>
      </c>
      <c r="O691" s="2" t="s">
        <v>183</v>
      </c>
      <c r="P691" s="2" t="str">
        <f t="shared" si="13"/>
        <v>211015-CARTAS DE CREDITO-SUBCUENTA</v>
      </c>
      <c r="Q691" t="s">
        <v>2543</v>
      </c>
    </row>
    <row r="692" spans="13:17" x14ac:dyDescent="0.25">
      <c r="M692" s="34">
        <v>211020</v>
      </c>
      <c r="N692" s="2" t="s">
        <v>711</v>
      </c>
      <c r="O692" s="2" t="s">
        <v>183</v>
      </c>
      <c r="P692" s="2" t="str">
        <f t="shared" si="13"/>
        <v>211020-ACEPTACIONES BANCARIAS-SUBCUENTA</v>
      </c>
      <c r="Q692" t="s">
        <v>2544</v>
      </c>
    </row>
    <row r="693" spans="13:17" x14ac:dyDescent="0.25">
      <c r="M693" s="34">
        <v>2115</v>
      </c>
      <c r="N693" s="2" t="s">
        <v>361</v>
      </c>
      <c r="O693" s="2" t="s">
        <v>182</v>
      </c>
      <c r="P693" s="2" t="str">
        <f t="shared" si="13"/>
        <v>2115-CORPORACIONES FINANCIERAS-CUENTA</v>
      </c>
      <c r="Q693" t="s">
        <v>2545</v>
      </c>
    </row>
    <row r="694" spans="13:17" x14ac:dyDescent="0.25">
      <c r="M694" s="34">
        <v>211505</v>
      </c>
      <c r="N694" s="2" t="s">
        <v>709</v>
      </c>
      <c r="O694" s="2" t="s">
        <v>183</v>
      </c>
      <c r="P694" s="2" t="str">
        <f t="shared" si="13"/>
        <v>211505-PAGARES-SUBCUENTA</v>
      </c>
      <c r="Q694" t="s">
        <v>2546</v>
      </c>
    </row>
    <row r="695" spans="13:17" x14ac:dyDescent="0.25">
      <c r="M695" s="34">
        <v>211510</v>
      </c>
      <c r="N695" s="2" t="s">
        <v>713</v>
      </c>
      <c r="O695" s="2" t="s">
        <v>183</v>
      </c>
      <c r="P695" s="2" t="str">
        <f t="shared" si="13"/>
        <v>211510-ACEPTACIONES FINANCIERAS-SUBCUENTA</v>
      </c>
      <c r="Q695" t="s">
        <v>2547</v>
      </c>
    </row>
    <row r="696" spans="13:17" x14ac:dyDescent="0.25">
      <c r="M696" s="34">
        <v>211515</v>
      </c>
      <c r="N696" s="2" t="s">
        <v>710</v>
      </c>
      <c r="O696" s="2" t="s">
        <v>183</v>
      </c>
      <c r="P696" s="2" t="str">
        <f t="shared" si="13"/>
        <v>211515-CARTAS DE CREDITO-SUBCUENTA</v>
      </c>
      <c r="Q696" t="s">
        <v>2548</v>
      </c>
    </row>
    <row r="697" spans="13:17" x14ac:dyDescent="0.25">
      <c r="M697" s="34">
        <v>2120</v>
      </c>
      <c r="N697" s="2" t="s">
        <v>360</v>
      </c>
      <c r="O697" s="2" t="s">
        <v>182</v>
      </c>
      <c r="P697" s="2" t="str">
        <f t="shared" si="13"/>
        <v>2120-COMPAÑIAS DE FINANCIAMIENTO COMERCIAL-CUENTA</v>
      </c>
      <c r="Q697" t="s">
        <v>2549</v>
      </c>
    </row>
    <row r="698" spans="13:17" x14ac:dyDescent="0.25">
      <c r="M698" s="34">
        <v>212005</v>
      </c>
      <c r="N698" s="2" t="s">
        <v>709</v>
      </c>
      <c r="O698" s="2" t="s">
        <v>183</v>
      </c>
      <c r="P698" s="2" t="str">
        <f t="shared" si="13"/>
        <v>212005-PAGARES-SUBCUENTA</v>
      </c>
      <c r="Q698" t="s">
        <v>2550</v>
      </c>
    </row>
    <row r="699" spans="13:17" x14ac:dyDescent="0.25">
      <c r="M699" s="34">
        <v>212010</v>
      </c>
      <c r="N699" s="2" t="s">
        <v>713</v>
      </c>
      <c r="O699" s="2" t="s">
        <v>183</v>
      </c>
      <c r="P699" s="2" t="str">
        <f t="shared" si="13"/>
        <v>212010-ACEPTACIONES FINANCIERAS-SUBCUENTA</v>
      </c>
      <c r="Q699" t="s">
        <v>2551</v>
      </c>
    </row>
    <row r="700" spans="13:17" x14ac:dyDescent="0.25">
      <c r="M700" s="34">
        <v>2125</v>
      </c>
      <c r="N700" s="2" t="s">
        <v>318</v>
      </c>
      <c r="O700" s="2" t="s">
        <v>182</v>
      </c>
      <c r="P700" s="2" t="str">
        <f t="shared" si="13"/>
        <v>2125-CORPORACIONES DE AHORRO Y VIVIENDA-CUENTA</v>
      </c>
      <c r="Q700" t="s">
        <v>2552</v>
      </c>
    </row>
    <row r="701" spans="13:17" x14ac:dyDescent="0.25">
      <c r="M701" s="34">
        <v>212505</v>
      </c>
      <c r="N701" s="2" t="s">
        <v>708</v>
      </c>
      <c r="O701" s="2" t="s">
        <v>183</v>
      </c>
      <c r="P701" s="2" t="str">
        <f t="shared" si="13"/>
        <v>212505-SOBREGIROS-SUBCUENTA</v>
      </c>
      <c r="Q701" t="s">
        <v>2553</v>
      </c>
    </row>
    <row r="702" spans="13:17" x14ac:dyDescent="0.25">
      <c r="M702" s="34">
        <v>212510</v>
      </c>
      <c r="N702" s="2" t="s">
        <v>709</v>
      </c>
      <c r="O702" s="2" t="s">
        <v>183</v>
      </c>
      <c r="P702" s="2" t="str">
        <f t="shared" si="13"/>
        <v>212510-PAGARES-SUBCUENTA</v>
      </c>
      <c r="Q702" t="s">
        <v>2554</v>
      </c>
    </row>
    <row r="703" spans="13:17" x14ac:dyDescent="0.25">
      <c r="M703" s="34">
        <v>212515</v>
      </c>
      <c r="N703" s="2" t="s">
        <v>714</v>
      </c>
      <c r="O703" s="2" t="s">
        <v>183</v>
      </c>
      <c r="P703" s="2" t="str">
        <f t="shared" si="13"/>
        <v>212515-HIPOTECARIAS-SUBCUENTA</v>
      </c>
      <c r="Q703" t="s">
        <v>2555</v>
      </c>
    </row>
    <row r="704" spans="13:17" x14ac:dyDescent="0.25">
      <c r="M704" s="34">
        <v>2130</v>
      </c>
      <c r="N704" s="2" t="s">
        <v>715</v>
      </c>
      <c r="O704" s="2" t="s">
        <v>182</v>
      </c>
      <c r="P704" s="2" t="str">
        <f t="shared" si="13"/>
        <v>2130-ENTIDADES FINANCIERAS DEL EXTERIOR-CUENTA</v>
      </c>
      <c r="Q704" t="s">
        <v>2556</v>
      </c>
    </row>
    <row r="705" spans="13:17" x14ac:dyDescent="0.25">
      <c r="M705" s="34" t="s">
        <v>212</v>
      </c>
      <c r="N705" s="2" t="s">
        <v>188</v>
      </c>
      <c r="O705" s="2" t="s">
        <v>188</v>
      </c>
      <c r="P705" s="2" t="str">
        <f t="shared" si="13"/>
        <v xml:space="preserve">213001 a 213098 </v>
      </c>
      <c r="Q705" t="s">
        <v>2557</v>
      </c>
    </row>
    <row r="706" spans="13:17" x14ac:dyDescent="0.25">
      <c r="M706" s="34">
        <v>2135</v>
      </c>
      <c r="N706" s="2" t="s">
        <v>716</v>
      </c>
      <c r="O706" s="2" t="s">
        <v>182</v>
      </c>
      <c r="P706" s="2" t="str">
        <f t="shared" si="13"/>
        <v>2135-COMPROMISOS DE RECOMPRA DE INVERSIONES NEGOCIADAS-CUENTA</v>
      </c>
      <c r="Q706" t="s">
        <v>2558</v>
      </c>
    </row>
    <row r="707" spans="13:17" x14ac:dyDescent="0.25">
      <c r="M707" s="34">
        <v>213505</v>
      </c>
      <c r="N707" s="2" t="s">
        <v>320</v>
      </c>
      <c r="O707" s="2" t="s">
        <v>183</v>
      </c>
      <c r="P707" s="2" t="str">
        <f t="shared" si="13"/>
        <v>213505-ACCIONES-SUBCUENTA</v>
      </c>
      <c r="Q707" t="s">
        <v>2559</v>
      </c>
    </row>
    <row r="708" spans="13:17" x14ac:dyDescent="0.25">
      <c r="M708" s="34">
        <v>213510</v>
      </c>
      <c r="N708" s="2" t="s">
        <v>321</v>
      </c>
      <c r="O708" s="2" t="s">
        <v>183</v>
      </c>
      <c r="P708" s="2" t="str">
        <f t="shared" ref="P708:P771" si="14">IF(AND(M708&lt;&gt;"",N708&lt;&gt;"",O708&lt;&gt;""),M708&amp;"-"&amp;N708&amp;"-"&amp;O708,IF(AND(M708="",N708&lt;&gt;"",O708&lt;&gt;""),N708&amp;"-"&amp;O708,IF(AND(M708&lt;&gt;"",N708="",O708&lt;&gt;""),M708&amp;"-"&amp;O708,IF(AND(M708&lt;&gt;"",N708&lt;&gt;"",O708=""),M708&amp;"-"&amp;N708,IF(AND(M708&lt;&gt;"",N708="",O708=""),M708,"")))))</f>
        <v>213510-CUOTAS O PARTES DE INTERES SOCIAL-SUBCUENTA</v>
      </c>
      <c r="Q708" t="s">
        <v>2560</v>
      </c>
    </row>
    <row r="709" spans="13:17" x14ac:dyDescent="0.25">
      <c r="M709" s="34">
        <v>213515</v>
      </c>
      <c r="N709" s="2" t="s">
        <v>322</v>
      </c>
      <c r="O709" s="2" t="s">
        <v>183</v>
      </c>
      <c r="P709" s="2" t="str">
        <f t="shared" si="14"/>
        <v>213515-BONOS-SUBCUENTA</v>
      </c>
      <c r="Q709" t="s">
        <v>2561</v>
      </c>
    </row>
    <row r="710" spans="13:17" x14ac:dyDescent="0.25">
      <c r="M710" s="34">
        <v>213520</v>
      </c>
      <c r="N710" s="2" t="s">
        <v>324</v>
      </c>
      <c r="O710" s="2" t="s">
        <v>183</v>
      </c>
      <c r="P710" s="2" t="str">
        <f t="shared" si="14"/>
        <v>213520-CEDULAS-SUBCUENTA</v>
      </c>
      <c r="Q710" t="s">
        <v>2562</v>
      </c>
    </row>
    <row r="711" spans="13:17" x14ac:dyDescent="0.25">
      <c r="M711" s="34">
        <v>213525</v>
      </c>
      <c r="N711" s="2" t="s">
        <v>329</v>
      </c>
      <c r="O711" s="2" t="s">
        <v>183</v>
      </c>
      <c r="P711" s="2" t="str">
        <f t="shared" si="14"/>
        <v>213525-CERTIFICADOS-SUBCUENTA</v>
      </c>
      <c r="Q711" t="s">
        <v>2563</v>
      </c>
    </row>
    <row r="712" spans="13:17" x14ac:dyDescent="0.25">
      <c r="M712" s="34">
        <v>213530</v>
      </c>
      <c r="N712" s="2" t="s">
        <v>339</v>
      </c>
      <c r="O712" s="2" t="s">
        <v>183</v>
      </c>
      <c r="P712" s="2" t="str">
        <f t="shared" si="14"/>
        <v>213530-PAPELES COMERCIALES-SUBCUENTA</v>
      </c>
      <c r="Q712" t="s">
        <v>2564</v>
      </c>
    </row>
    <row r="713" spans="13:17" x14ac:dyDescent="0.25">
      <c r="M713" s="34">
        <v>213535</v>
      </c>
      <c r="N713" s="2" t="s">
        <v>343</v>
      </c>
      <c r="O713" s="2" t="s">
        <v>183</v>
      </c>
      <c r="P713" s="2" t="str">
        <f t="shared" si="14"/>
        <v>213535-TITULOS-SUBCUENTA</v>
      </c>
      <c r="Q713" t="s">
        <v>2565</v>
      </c>
    </row>
    <row r="714" spans="13:17" x14ac:dyDescent="0.25">
      <c r="M714" s="34">
        <v>213540</v>
      </c>
      <c r="N714" s="2" t="s">
        <v>358</v>
      </c>
      <c r="O714" s="2" t="s">
        <v>183</v>
      </c>
      <c r="P714" s="2" t="str">
        <f t="shared" si="14"/>
        <v>213540-ACEPTACIONES BANCARIAS O FINANCIERAS-SUBCUENTA</v>
      </c>
      <c r="Q714" t="s">
        <v>2566</v>
      </c>
    </row>
    <row r="715" spans="13:17" x14ac:dyDescent="0.25">
      <c r="M715" s="34">
        <v>213595</v>
      </c>
      <c r="N715" s="2" t="s">
        <v>323</v>
      </c>
      <c r="O715" s="2" t="s">
        <v>183</v>
      </c>
      <c r="P715" s="2" t="str">
        <f t="shared" si="14"/>
        <v>213595-OTROS-SUBCUENTA</v>
      </c>
      <c r="Q715" t="s">
        <v>2567</v>
      </c>
    </row>
    <row r="716" spans="13:17" x14ac:dyDescent="0.25">
      <c r="M716" s="34">
        <v>2140</v>
      </c>
      <c r="N716" s="2" t="s">
        <v>717</v>
      </c>
      <c r="O716" s="2" t="s">
        <v>182</v>
      </c>
      <c r="P716" s="2" t="str">
        <f t="shared" si="14"/>
        <v>2140-COMPROMISOS DE RECOMPRA DE CARTERA NEGOCIADA-CUENTA</v>
      </c>
      <c r="Q716" t="s">
        <v>2568</v>
      </c>
    </row>
    <row r="717" spans="13:17" x14ac:dyDescent="0.25">
      <c r="M717" s="34" t="s">
        <v>213</v>
      </c>
      <c r="N717" s="2" t="s">
        <v>188</v>
      </c>
      <c r="O717" s="2" t="s">
        <v>188</v>
      </c>
      <c r="P717" s="2" t="str">
        <f t="shared" si="14"/>
        <v xml:space="preserve">214001 a 214098 </v>
      </c>
      <c r="Q717" t="s">
        <v>2569</v>
      </c>
    </row>
    <row r="718" spans="13:17" x14ac:dyDescent="0.25">
      <c r="M718" s="34">
        <v>2145</v>
      </c>
      <c r="N718" s="2" t="s">
        <v>718</v>
      </c>
      <c r="O718" s="2" t="s">
        <v>182</v>
      </c>
      <c r="P718" s="2" t="str">
        <f t="shared" si="14"/>
        <v>2145-OBLIGACIONES GUBERNAMENTALES-CUENTA</v>
      </c>
      <c r="Q718" t="s">
        <v>2570</v>
      </c>
    </row>
    <row r="719" spans="13:17" x14ac:dyDescent="0.25">
      <c r="M719" s="34">
        <v>214505</v>
      </c>
      <c r="N719" s="2" t="s">
        <v>719</v>
      </c>
      <c r="O719" s="2" t="s">
        <v>183</v>
      </c>
      <c r="P719" s="2" t="str">
        <f t="shared" si="14"/>
        <v>214505-GOBIERNO NACIONAL-SUBCUENTA</v>
      </c>
      <c r="Q719" t="s">
        <v>2571</v>
      </c>
    </row>
    <row r="720" spans="13:17" x14ac:dyDescent="0.25">
      <c r="M720" s="34">
        <v>214510</v>
      </c>
      <c r="N720" s="2" t="s">
        <v>720</v>
      </c>
      <c r="O720" s="2" t="s">
        <v>183</v>
      </c>
      <c r="P720" s="2" t="str">
        <f t="shared" si="14"/>
        <v>214510-ENTIDADES OFICIALES-SUBCUENTA</v>
      </c>
      <c r="Q720" t="s">
        <v>2572</v>
      </c>
    </row>
    <row r="721" spans="13:17" x14ac:dyDescent="0.25">
      <c r="M721" s="34">
        <v>2195</v>
      </c>
      <c r="N721" s="2" t="s">
        <v>721</v>
      </c>
      <c r="O721" s="2" t="s">
        <v>182</v>
      </c>
      <c r="P721" s="2" t="str">
        <f t="shared" si="14"/>
        <v>2195-OTRAS OBLIGACIONES-CUENTA</v>
      </c>
      <c r="Q721" t="s">
        <v>2573</v>
      </c>
    </row>
    <row r="722" spans="13:17" x14ac:dyDescent="0.25">
      <c r="M722" s="34">
        <v>219505</v>
      </c>
      <c r="N722" s="2" t="s">
        <v>390</v>
      </c>
      <c r="O722" s="2" t="s">
        <v>183</v>
      </c>
      <c r="P722" s="2" t="str">
        <f t="shared" si="14"/>
        <v>219505-PARTICULARES-SUBCUENTA</v>
      </c>
      <c r="Q722" t="s">
        <v>2574</v>
      </c>
    </row>
    <row r="723" spans="13:17" x14ac:dyDescent="0.25">
      <c r="M723" s="34">
        <v>219510</v>
      </c>
      <c r="N723" s="2" t="s">
        <v>388</v>
      </c>
      <c r="O723" s="2" t="s">
        <v>183</v>
      </c>
      <c r="P723" s="2" t="str">
        <f t="shared" si="14"/>
        <v>219510-COMPAÑIAS VINCULADAS-SUBCUENTA</v>
      </c>
      <c r="Q723" t="s">
        <v>88</v>
      </c>
    </row>
    <row r="724" spans="13:17" x14ac:dyDescent="0.25">
      <c r="M724" s="34">
        <v>219515</v>
      </c>
      <c r="N724" s="2" t="s">
        <v>387</v>
      </c>
      <c r="O724" s="2" t="s">
        <v>183</v>
      </c>
      <c r="P724" s="2" t="str">
        <f t="shared" si="14"/>
        <v>219515-CASA MATRIZ-SUBCUENTA</v>
      </c>
      <c r="Q724" t="s">
        <v>2575</v>
      </c>
    </row>
    <row r="725" spans="13:17" x14ac:dyDescent="0.25">
      <c r="M725" s="34">
        <v>219520</v>
      </c>
      <c r="N725" s="2" t="s">
        <v>722</v>
      </c>
      <c r="O725" s="2" t="s">
        <v>183</v>
      </c>
      <c r="P725" s="2" t="str">
        <f t="shared" si="14"/>
        <v>219520-SOCIOS O ACCIONISTAS-SUBCUENTA</v>
      </c>
      <c r="Q725" t="s">
        <v>2576</v>
      </c>
    </row>
    <row r="726" spans="13:17" x14ac:dyDescent="0.25">
      <c r="M726" s="34">
        <v>219525</v>
      </c>
      <c r="N726" s="2" t="s">
        <v>723</v>
      </c>
      <c r="O726" s="2" t="s">
        <v>183</v>
      </c>
      <c r="P726" s="2" t="str">
        <f t="shared" si="14"/>
        <v>219525-FONDOS Y COOPERATIVAS-SUBCUENTA</v>
      </c>
      <c r="Q726" t="s">
        <v>2577</v>
      </c>
    </row>
    <row r="727" spans="13:17" x14ac:dyDescent="0.25">
      <c r="M727" s="34">
        <v>219595</v>
      </c>
      <c r="N727" s="2" t="s">
        <v>328</v>
      </c>
      <c r="O727" s="2" t="s">
        <v>183</v>
      </c>
      <c r="P727" s="2" t="str">
        <f t="shared" si="14"/>
        <v>219595-OTRAS-SUBCUENTA</v>
      </c>
      <c r="Q727" t="s">
        <v>2578</v>
      </c>
    </row>
    <row r="728" spans="13:17" x14ac:dyDescent="0.25">
      <c r="M728" s="34">
        <v>22</v>
      </c>
      <c r="N728" s="2" t="s">
        <v>724</v>
      </c>
      <c r="O728" s="2" t="s">
        <v>181</v>
      </c>
      <c r="P728" s="2" t="str">
        <f t="shared" si="14"/>
        <v>22-PROVEEDORES-GRUPO</v>
      </c>
      <c r="Q728" t="s">
        <v>2579</v>
      </c>
    </row>
    <row r="729" spans="13:17" x14ac:dyDescent="0.25">
      <c r="M729" s="34">
        <v>2205</v>
      </c>
      <c r="N729" s="2" t="s">
        <v>383</v>
      </c>
      <c r="O729" s="2" t="s">
        <v>182</v>
      </c>
      <c r="P729" s="2" t="str">
        <f t="shared" si="14"/>
        <v>2205-NACIONALES-CUENTA</v>
      </c>
      <c r="Q729" t="s">
        <v>2580</v>
      </c>
    </row>
    <row r="730" spans="13:17" x14ac:dyDescent="0.25">
      <c r="M730" s="34" t="s">
        <v>214</v>
      </c>
      <c r="N730" s="2" t="s">
        <v>188</v>
      </c>
      <c r="O730" s="2" t="s">
        <v>188</v>
      </c>
      <c r="P730" s="2" t="str">
        <f t="shared" si="14"/>
        <v xml:space="preserve">220501 a 220598 </v>
      </c>
      <c r="Q730" t="s">
        <v>2581</v>
      </c>
    </row>
    <row r="731" spans="13:17" x14ac:dyDescent="0.25">
      <c r="M731" s="34">
        <v>2210</v>
      </c>
      <c r="N731" s="2" t="s">
        <v>384</v>
      </c>
      <c r="O731" s="2" t="s">
        <v>182</v>
      </c>
      <c r="P731" s="2" t="str">
        <f t="shared" si="14"/>
        <v>2210-DEL EXTERIOR-CUENTA</v>
      </c>
      <c r="Q731" t="s">
        <v>2582</v>
      </c>
    </row>
    <row r="732" spans="13:17" x14ac:dyDescent="0.25">
      <c r="M732" s="34" t="s">
        <v>215</v>
      </c>
      <c r="N732" s="2" t="s">
        <v>188</v>
      </c>
      <c r="O732" s="2" t="s">
        <v>188</v>
      </c>
      <c r="P732" s="2" t="str">
        <f t="shared" si="14"/>
        <v xml:space="preserve">221001 a 221098 </v>
      </c>
      <c r="Q732" t="s">
        <v>1564</v>
      </c>
    </row>
    <row r="733" spans="13:17" x14ac:dyDescent="0.25">
      <c r="M733" s="34">
        <v>2215</v>
      </c>
      <c r="N733" s="2" t="s">
        <v>386</v>
      </c>
      <c r="O733" s="2" t="s">
        <v>182</v>
      </c>
      <c r="P733" s="2" t="str">
        <f t="shared" si="14"/>
        <v>2215-CUENTAS CORRIENTES COMERCIALES-CUENTA</v>
      </c>
      <c r="Q733" t="s">
        <v>1568</v>
      </c>
    </row>
    <row r="734" spans="13:17" x14ac:dyDescent="0.25">
      <c r="M734" s="34" t="s">
        <v>216</v>
      </c>
      <c r="N734" s="2" t="s">
        <v>188</v>
      </c>
      <c r="O734" s="2" t="s">
        <v>188</v>
      </c>
      <c r="P734" s="2" t="str">
        <f t="shared" si="14"/>
        <v xml:space="preserve">221501 a 221598 </v>
      </c>
      <c r="Q734" t="s">
        <v>2583</v>
      </c>
    </row>
    <row r="735" spans="13:17" x14ac:dyDescent="0.25">
      <c r="M735" s="34">
        <v>2220</v>
      </c>
      <c r="N735" s="2" t="s">
        <v>387</v>
      </c>
      <c r="O735" s="2" t="s">
        <v>182</v>
      </c>
      <c r="P735" s="2" t="str">
        <f t="shared" si="14"/>
        <v>2220-CASA MATRIZ-CUENTA</v>
      </c>
      <c r="Q735" t="s">
        <v>2584</v>
      </c>
    </row>
    <row r="736" spans="13:17" x14ac:dyDescent="0.25">
      <c r="M736" s="34" t="s">
        <v>217</v>
      </c>
      <c r="N736" s="2" t="s">
        <v>188</v>
      </c>
      <c r="O736" s="2" t="s">
        <v>188</v>
      </c>
      <c r="P736" s="2" t="str">
        <f t="shared" si="14"/>
        <v xml:space="preserve">222001 a 222098 </v>
      </c>
      <c r="Q736" t="s">
        <v>2585</v>
      </c>
    </row>
    <row r="737" spans="13:17" x14ac:dyDescent="0.25">
      <c r="M737" s="34">
        <v>2225</v>
      </c>
      <c r="N737" s="2" t="s">
        <v>388</v>
      </c>
      <c r="O737" s="2" t="s">
        <v>182</v>
      </c>
      <c r="P737" s="2" t="str">
        <f t="shared" si="14"/>
        <v>2225-COMPAÑIAS VINCULADAS-CUENTA</v>
      </c>
      <c r="Q737" t="s">
        <v>2586</v>
      </c>
    </row>
    <row r="738" spans="13:17" x14ac:dyDescent="0.25">
      <c r="M738" s="34" t="s">
        <v>218</v>
      </c>
      <c r="N738" s="2" t="s">
        <v>188</v>
      </c>
      <c r="O738" s="2" t="s">
        <v>188</v>
      </c>
      <c r="P738" s="2" t="str">
        <f t="shared" si="14"/>
        <v xml:space="preserve">222501 a 222598 </v>
      </c>
      <c r="Q738" t="s">
        <v>2587</v>
      </c>
    </row>
    <row r="739" spans="13:17" x14ac:dyDescent="0.25">
      <c r="M739" s="34">
        <v>23</v>
      </c>
      <c r="N739" s="2" t="s">
        <v>725</v>
      </c>
      <c r="O739" s="2" t="s">
        <v>181</v>
      </c>
      <c r="P739" s="2" t="str">
        <f t="shared" si="14"/>
        <v>23-CUENTAS POR PAGAR-GRUPO</v>
      </c>
      <c r="Q739" t="s">
        <v>2588</v>
      </c>
    </row>
    <row r="740" spans="13:17" x14ac:dyDescent="0.25">
      <c r="M740" s="34">
        <v>2305</v>
      </c>
      <c r="N740" s="2" t="s">
        <v>386</v>
      </c>
      <c r="O740" s="2" t="s">
        <v>182</v>
      </c>
      <c r="P740" s="2" t="str">
        <f t="shared" si="14"/>
        <v>2305-CUENTAS CORRIENTES COMERCIALES-CUENTA</v>
      </c>
      <c r="Q740" t="s">
        <v>2589</v>
      </c>
    </row>
    <row r="741" spans="13:17" x14ac:dyDescent="0.25">
      <c r="M741" s="34" t="s">
        <v>219</v>
      </c>
      <c r="N741" s="2" t="s">
        <v>188</v>
      </c>
      <c r="O741" s="2" t="s">
        <v>188</v>
      </c>
      <c r="P741" s="2" t="str">
        <f t="shared" si="14"/>
        <v xml:space="preserve">230501 a 230598 </v>
      </c>
      <c r="Q741" t="s">
        <v>2590</v>
      </c>
    </row>
    <row r="742" spans="13:17" x14ac:dyDescent="0.25">
      <c r="M742" s="34">
        <v>2310</v>
      </c>
      <c r="N742" s="2" t="s">
        <v>726</v>
      </c>
      <c r="O742" s="2" t="s">
        <v>182</v>
      </c>
      <c r="P742" s="2" t="str">
        <f t="shared" si="14"/>
        <v>2310-A CASA MATRIZ-CUENTA</v>
      </c>
      <c r="Q742" t="s">
        <v>2591</v>
      </c>
    </row>
    <row r="743" spans="13:17" x14ac:dyDescent="0.25">
      <c r="M743" s="34" t="s">
        <v>220</v>
      </c>
      <c r="N743" s="2" t="s">
        <v>188</v>
      </c>
      <c r="O743" s="2" t="s">
        <v>188</v>
      </c>
      <c r="P743" s="2" t="str">
        <f t="shared" si="14"/>
        <v xml:space="preserve">231001 a 231098 </v>
      </c>
      <c r="Q743" t="s">
        <v>2592</v>
      </c>
    </row>
    <row r="744" spans="13:17" x14ac:dyDescent="0.25">
      <c r="M744" s="34">
        <v>2315</v>
      </c>
      <c r="N744" s="2" t="s">
        <v>727</v>
      </c>
      <c r="O744" s="2" t="s">
        <v>182</v>
      </c>
      <c r="P744" s="2" t="str">
        <f t="shared" si="14"/>
        <v>2315-A COMPAÑIAS VINCULADAS-CUENTA</v>
      </c>
      <c r="Q744" t="s">
        <v>2593</v>
      </c>
    </row>
    <row r="745" spans="13:17" x14ac:dyDescent="0.25">
      <c r="M745" s="34" t="s">
        <v>221</v>
      </c>
      <c r="N745" s="2" t="s">
        <v>188</v>
      </c>
      <c r="O745" s="2" t="s">
        <v>188</v>
      </c>
      <c r="P745" s="2" t="str">
        <f t="shared" si="14"/>
        <v xml:space="preserve">231501 a 231598 </v>
      </c>
      <c r="Q745" t="s">
        <v>2594</v>
      </c>
    </row>
    <row r="746" spans="13:17" x14ac:dyDescent="0.25">
      <c r="M746" s="34">
        <v>2320</v>
      </c>
      <c r="N746" s="2" t="s">
        <v>406</v>
      </c>
      <c r="O746" s="2" t="s">
        <v>182</v>
      </c>
      <c r="P746" s="2" t="str">
        <f t="shared" si="14"/>
        <v>2320-A CONTRATISTAS-CUENTA</v>
      </c>
      <c r="Q746" t="s">
        <v>2595</v>
      </c>
    </row>
    <row r="747" spans="13:17" x14ac:dyDescent="0.25">
      <c r="M747" s="34" t="s">
        <v>222</v>
      </c>
      <c r="N747" s="2" t="s">
        <v>188</v>
      </c>
      <c r="O747" s="2" t="s">
        <v>188</v>
      </c>
      <c r="P747" s="2" t="str">
        <f t="shared" si="14"/>
        <v xml:space="preserve">232001 a 232098 </v>
      </c>
      <c r="Q747" t="s">
        <v>2596</v>
      </c>
    </row>
    <row r="748" spans="13:17" x14ac:dyDescent="0.25">
      <c r="M748" s="34">
        <v>2330</v>
      </c>
      <c r="N748" s="2" t="s">
        <v>728</v>
      </c>
      <c r="O748" s="2" t="s">
        <v>182</v>
      </c>
      <c r="P748" s="2" t="str">
        <f t="shared" si="14"/>
        <v>2330-ORDENES DE COMPRA POR UTILIZAR-CUENTA</v>
      </c>
      <c r="Q748" t="s">
        <v>2597</v>
      </c>
    </row>
    <row r="749" spans="13:17" x14ac:dyDescent="0.25">
      <c r="M749" s="34" t="s">
        <v>223</v>
      </c>
      <c r="N749" s="2" t="s">
        <v>188</v>
      </c>
      <c r="O749" s="2" t="s">
        <v>188</v>
      </c>
      <c r="P749" s="2" t="str">
        <f t="shared" si="14"/>
        <v xml:space="preserve">233001 a 233098 </v>
      </c>
      <c r="Q749" t="s">
        <v>2598</v>
      </c>
    </row>
    <row r="750" spans="13:17" x14ac:dyDescent="0.25">
      <c r="M750" s="34">
        <v>2335</v>
      </c>
      <c r="N750" s="2" t="s">
        <v>729</v>
      </c>
      <c r="O750" s="2" t="s">
        <v>182</v>
      </c>
      <c r="P750" s="2" t="str">
        <f t="shared" si="14"/>
        <v>2335-COSTOS Y GASTOS POR PAGAR-CUENTA</v>
      </c>
      <c r="Q750" t="s">
        <v>2599</v>
      </c>
    </row>
    <row r="751" spans="13:17" x14ac:dyDescent="0.25">
      <c r="M751" s="34">
        <v>233505</v>
      </c>
      <c r="N751" s="2" t="s">
        <v>730</v>
      </c>
      <c r="O751" s="2" t="s">
        <v>183</v>
      </c>
      <c r="P751" s="2" t="str">
        <f t="shared" si="14"/>
        <v>233505-GASTOS FINANCIEROS-SUBCUENTA</v>
      </c>
      <c r="Q751" t="s">
        <v>2600</v>
      </c>
    </row>
    <row r="752" spans="13:17" x14ac:dyDescent="0.25">
      <c r="M752" s="34">
        <v>233510</v>
      </c>
      <c r="N752" s="2" t="s">
        <v>731</v>
      </c>
      <c r="O752" s="2" t="s">
        <v>183</v>
      </c>
      <c r="P752" s="2" t="str">
        <f t="shared" si="14"/>
        <v>233510-GASTOS LEGALES-SUBCUENTA</v>
      </c>
      <c r="Q752" t="s">
        <v>2601</v>
      </c>
    </row>
    <row r="753" spans="13:17" x14ac:dyDescent="0.25">
      <c r="M753" s="34">
        <v>233515</v>
      </c>
      <c r="N753" s="2" t="s">
        <v>732</v>
      </c>
      <c r="O753" s="2" t="s">
        <v>183</v>
      </c>
      <c r="P753" s="2" t="str">
        <f t="shared" si="14"/>
        <v>233515-LIBROS, SUSCRIPCIONES, PERIODICOS Y REVISTAS-SUBCUENTA</v>
      </c>
      <c r="Q753" t="s">
        <v>2602</v>
      </c>
    </row>
    <row r="754" spans="13:17" x14ac:dyDescent="0.25">
      <c r="M754" s="34">
        <v>233520</v>
      </c>
      <c r="N754" s="2" t="s">
        <v>432</v>
      </c>
      <c r="O754" s="2" t="s">
        <v>183</v>
      </c>
      <c r="P754" s="2" t="str">
        <f t="shared" si="14"/>
        <v>233520-COMISIONES-SUBCUENTA</v>
      </c>
      <c r="Q754" t="s">
        <v>2603</v>
      </c>
    </row>
    <row r="755" spans="13:17" x14ac:dyDescent="0.25">
      <c r="M755" s="34">
        <v>233525</v>
      </c>
      <c r="N755" s="2" t="s">
        <v>433</v>
      </c>
      <c r="O755" s="2" t="s">
        <v>183</v>
      </c>
      <c r="P755" s="2" t="str">
        <f t="shared" si="14"/>
        <v>233525-HONORARIOS-SUBCUENTA</v>
      </c>
      <c r="Q755" t="s">
        <v>2604</v>
      </c>
    </row>
    <row r="756" spans="13:17" x14ac:dyDescent="0.25">
      <c r="M756" s="34">
        <v>233530</v>
      </c>
      <c r="N756" s="2" t="s">
        <v>733</v>
      </c>
      <c r="O756" s="2" t="s">
        <v>183</v>
      </c>
      <c r="P756" s="2" t="str">
        <f t="shared" si="14"/>
        <v>233530-SERVICIOS TECNICOS-SUBCUENTA</v>
      </c>
      <c r="Q756" t="s">
        <v>2605</v>
      </c>
    </row>
    <row r="757" spans="13:17" x14ac:dyDescent="0.25">
      <c r="M757" s="34">
        <v>233535</v>
      </c>
      <c r="N757" s="2" t="s">
        <v>734</v>
      </c>
      <c r="O757" s="2" t="s">
        <v>183</v>
      </c>
      <c r="P757" s="2" t="str">
        <f t="shared" si="14"/>
        <v>233535-SERVICIOS DE MANTENIMIENTO-SUBCUENTA</v>
      </c>
      <c r="Q757" t="s">
        <v>2606</v>
      </c>
    </row>
    <row r="758" spans="13:17" x14ac:dyDescent="0.25">
      <c r="M758" s="34">
        <v>233540</v>
      </c>
      <c r="N758" s="2" t="s">
        <v>435</v>
      </c>
      <c r="O758" s="2" t="s">
        <v>183</v>
      </c>
      <c r="P758" s="2" t="str">
        <f t="shared" si="14"/>
        <v>233540-ARRENDAMIENTOS-SUBCUENTA</v>
      </c>
      <c r="Q758" t="s">
        <v>2607</v>
      </c>
    </row>
    <row r="759" spans="13:17" x14ac:dyDescent="0.25">
      <c r="M759" s="34">
        <v>233545</v>
      </c>
      <c r="N759" s="2" t="s">
        <v>735</v>
      </c>
      <c r="O759" s="2" t="s">
        <v>183</v>
      </c>
      <c r="P759" s="2" t="str">
        <f t="shared" si="14"/>
        <v>233545-TRANSPORTES, FLETES Y ACARREOS-SUBCUENTA</v>
      </c>
      <c r="Q759" t="s">
        <v>2608</v>
      </c>
    </row>
    <row r="760" spans="13:17" x14ac:dyDescent="0.25">
      <c r="M760" s="34">
        <v>233550</v>
      </c>
      <c r="N760" s="2" t="s">
        <v>736</v>
      </c>
      <c r="O760" s="2" t="s">
        <v>183</v>
      </c>
      <c r="P760" s="2" t="str">
        <f t="shared" si="14"/>
        <v>233550-SERVICIOS PUBLICOS-SUBCUENTA</v>
      </c>
      <c r="Q760" t="s">
        <v>1575</v>
      </c>
    </row>
    <row r="761" spans="13:17" x14ac:dyDescent="0.25">
      <c r="M761" s="34">
        <v>233555</v>
      </c>
      <c r="N761" s="2" t="s">
        <v>737</v>
      </c>
      <c r="O761" s="2" t="s">
        <v>183</v>
      </c>
      <c r="P761" s="2" t="str">
        <f t="shared" si="14"/>
        <v>233555-SEGUROS-SUBCUENTA</v>
      </c>
      <c r="Q761" t="s">
        <v>2609</v>
      </c>
    </row>
    <row r="762" spans="13:17" x14ac:dyDescent="0.25">
      <c r="M762" s="34">
        <v>233560</v>
      </c>
      <c r="N762" s="2" t="s">
        <v>738</v>
      </c>
      <c r="O762" s="2" t="s">
        <v>183</v>
      </c>
      <c r="P762" s="2" t="str">
        <f t="shared" si="14"/>
        <v>233560-GASTOS DE VIAJE-SUBCUENTA</v>
      </c>
      <c r="Q762" t="s">
        <v>2610</v>
      </c>
    </row>
    <row r="763" spans="13:17" x14ac:dyDescent="0.25">
      <c r="M763" s="34">
        <v>233565</v>
      </c>
      <c r="N763" s="2" t="s">
        <v>739</v>
      </c>
      <c r="O763" s="2" t="s">
        <v>183</v>
      </c>
      <c r="P763" s="2" t="str">
        <f t="shared" si="14"/>
        <v>233565-GASTOS DE REPRESENTACION Y RELACIONES PUBLICAS-SUBCUENTA</v>
      </c>
      <c r="Q763" t="s">
        <v>2611</v>
      </c>
    </row>
    <row r="764" spans="13:17" x14ac:dyDescent="0.25">
      <c r="M764" s="34">
        <v>233570</v>
      </c>
      <c r="N764" s="2" t="s">
        <v>740</v>
      </c>
      <c r="O764" s="2" t="s">
        <v>183</v>
      </c>
      <c r="P764" s="2" t="str">
        <f t="shared" si="14"/>
        <v>233570-SERVICIOS ADUANEROS-SUBCUENTA</v>
      </c>
      <c r="Q764" t="s">
        <v>2612</v>
      </c>
    </row>
    <row r="765" spans="13:17" x14ac:dyDescent="0.25">
      <c r="M765" s="34">
        <v>233595</v>
      </c>
      <c r="N765" s="2" t="s">
        <v>323</v>
      </c>
      <c r="O765" s="2" t="s">
        <v>183</v>
      </c>
      <c r="P765" s="2" t="str">
        <f t="shared" si="14"/>
        <v>233595-OTROS-SUBCUENTA</v>
      </c>
      <c r="Q765" t="s">
        <v>2613</v>
      </c>
    </row>
    <row r="766" spans="13:17" x14ac:dyDescent="0.25">
      <c r="M766" s="34">
        <v>2340</v>
      </c>
      <c r="N766" s="2" t="s">
        <v>741</v>
      </c>
      <c r="O766" s="2" t="s">
        <v>182</v>
      </c>
      <c r="P766" s="2" t="str">
        <f t="shared" si="14"/>
        <v>2340-INSTALAMENTOS POR PAGAR-CUENTA</v>
      </c>
      <c r="Q766" t="s">
        <v>2614</v>
      </c>
    </row>
    <row r="767" spans="13:17" x14ac:dyDescent="0.25">
      <c r="M767" s="34" t="s">
        <v>224</v>
      </c>
      <c r="N767" s="2" t="s">
        <v>188</v>
      </c>
      <c r="O767" s="2" t="s">
        <v>188</v>
      </c>
      <c r="P767" s="2" t="str">
        <f t="shared" si="14"/>
        <v xml:space="preserve">234001 a 234098 </v>
      </c>
      <c r="Q767" t="s">
        <v>2615</v>
      </c>
    </row>
    <row r="768" spans="13:17" x14ac:dyDescent="0.25">
      <c r="M768" s="34">
        <v>2345</v>
      </c>
      <c r="N768" s="2" t="s">
        <v>742</v>
      </c>
      <c r="O768" s="2" t="s">
        <v>182</v>
      </c>
      <c r="P768" s="2" t="str">
        <f t="shared" si="14"/>
        <v>2345-ACREEDORES OFICIALES-CUENTA</v>
      </c>
      <c r="Q768" t="s">
        <v>2616</v>
      </c>
    </row>
    <row r="769" spans="13:17" x14ac:dyDescent="0.25">
      <c r="M769" s="34" t="s">
        <v>225</v>
      </c>
      <c r="N769" s="2" t="s">
        <v>188</v>
      </c>
      <c r="O769" s="2" t="s">
        <v>188</v>
      </c>
      <c r="P769" s="2" t="str">
        <f t="shared" si="14"/>
        <v xml:space="preserve">234501 a 234598 </v>
      </c>
      <c r="Q769" t="s">
        <v>2617</v>
      </c>
    </row>
    <row r="770" spans="13:17" x14ac:dyDescent="0.25">
      <c r="M770" s="34">
        <v>2350</v>
      </c>
      <c r="N770" s="2" t="s">
        <v>743</v>
      </c>
      <c r="O770" s="2" t="s">
        <v>182</v>
      </c>
      <c r="P770" s="2" t="str">
        <f t="shared" si="14"/>
        <v>2350-REGALIAS POR PAGAR-CUENTA</v>
      </c>
      <c r="Q770" t="s">
        <v>2618</v>
      </c>
    </row>
    <row r="771" spans="13:17" x14ac:dyDescent="0.25">
      <c r="M771" s="34" t="s">
        <v>226</v>
      </c>
      <c r="N771" s="2" t="s">
        <v>188</v>
      </c>
      <c r="O771" s="2" t="s">
        <v>188</v>
      </c>
      <c r="P771" s="2" t="str">
        <f t="shared" si="14"/>
        <v xml:space="preserve">235001 a 235098 </v>
      </c>
      <c r="Q771" t="s">
        <v>2619</v>
      </c>
    </row>
    <row r="772" spans="13:17" x14ac:dyDescent="0.25">
      <c r="M772" s="34">
        <v>2355</v>
      </c>
      <c r="N772" s="2" t="s">
        <v>744</v>
      </c>
      <c r="O772" s="2" t="s">
        <v>182</v>
      </c>
      <c r="P772" s="2" t="str">
        <f t="shared" ref="P772:P835" si="15">IF(AND(M772&lt;&gt;"",N772&lt;&gt;"",O772&lt;&gt;""),M772&amp;"-"&amp;N772&amp;"-"&amp;O772,IF(AND(M772="",N772&lt;&gt;"",O772&lt;&gt;""),N772&amp;"-"&amp;O772,IF(AND(M772&lt;&gt;"",N772="",O772&lt;&gt;""),M772&amp;"-"&amp;O772,IF(AND(M772&lt;&gt;"",N772&lt;&gt;"",O772=""),M772&amp;"-"&amp;N772,IF(AND(M772&lt;&gt;"",N772="",O772=""),M772,"")))))</f>
        <v>2355-DEUDAS CON ACCIONISTAS O SOCIOS-CUENTA</v>
      </c>
      <c r="Q772" t="s">
        <v>2620</v>
      </c>
    </row>
    <row r="773" spans="13:17" x14ac:dyDescent="0.25">
      <c r="M773" s="34">
        <v>235505</v>
      </c>
      <c r="N773" s="2" t="s">
        <v>745</v>
      </c>
      <c r="O773" s="2" t="s">
        <v>183</v>
      </c>
      <c r="P773" s="2" t="str">
        <f t="shared" si="15"/>
        <v>235505-ACCIONISTAS-SUBCUENTA</v>
      </c>
      <c r="Q773" t="s">
        <v>2621</v>
      </c>
    </row>
    <row r="774" spans="13:17" x14ac:dyDescent="0.25">
      <c r="M774" s="34">
        <v>235510</v>
      </c>
      <c r="N774" s="2" t="s">
        <v>746</v>
      </c>
      <c r="O774" s="2" t="s">
        <v>183</v>
      </c>
      <c r="P774" s="2" t="str">
        <f t="shared" si="15"/>
        <v>235510-SOCIOS-SUBCUENTA</v>
      </c>
      <c r="Q774" t="s">
        <v>2622</v>
      </c>
    </row>
    <row r="775" spans="13:17" x14ac:dyDescent="0.25">
      <c r="M775" s="34">
        <v>2360</v>
      </c>
      <c r="N775" s="2" t="s">
        <v>747</v>
      </c>
      <c r="O775" s="2" t="s">
        <v>182</v>
      </c>
      <c r="P775" s="2" t="str">
        <f t="shared" si="15"/>
        <v>2360-DIVIDENDOS O PARTICIPACIONES POR PAGAR-CUENTA</v>
      </c>
      <c r="Q775" t="s">
        <v>2623</v>
      </c>
    </row>
    <row r="776" spans="13:17" x14ac:dyDescent="0.25">
      <c r="M776" s="34">
        <v>236005</v>
      </c>
      <c r="N776" s="2" t="s">
        <v>748</v>
      </c>
      <c r="O776" s="2" t="s">
        <v>183</v>
      </c>
      <c r="P776" s="2" t="str">
        <f t="shared" si="15"/>
        <v>236005-DIVIDENDOS-SUBCUENTA</v>
      </c>
      <c r="Q776" t="s">
        <v>2624</v>
      </c>
    </row>
    <row r="777" spans="13:17" x14ac:dyDescent="0.25">
      <c r="M777" s="34">
        <v>236010</v>
      </c>
      <c r="N777" s="2" t="s">
        <v>749</v>
      </c>
      <c r="O777" s="2" t="s">
        <v>183</v>
      </c>
      <c r="P777" s="2" t="str">
        <f t="shared" si="15"/>
        <v>236010-PARTICIPACIONES-SUBCUENTA</v>
      </c>
      <c r="Q777" t="s">
        <v>2625</v>
      </c>
    </row>
    <row r="778" spans="13:17" x14ac:dyDescent="0.25">
      <c r="M778" s="34">
        <v>2365</v>
      </c>
      <c r="N778" s="2" t="s">
        <v>443</v>
      </c>
      <c r="O778" s="2" t="s">
        <v>182</v>
      </c>
      <c r="P778" s="2" t="str">
        <f t="shared" si="15"/>
        <v>2365-RETENCION EN LA FUENTE-CUENTA</v>
      </c>
      <c r="Q778" t="s">
        <v>2626</v>
      </c>
    </row>
    <row r="779" spans="13:17" x14ac:dyDescent="0.25">
      <c r="M779" s="34">
        <v>236505</v>
      </c>
      <c r="N779" s="2" t="s">
        <v>750</v>
      </c>
      <c r="O779" s="2" t="s">
        <v>183</v>
      </c>
      <c r="P779" s="2" t="str">
        <f t="shared" si="15"/>
        <v>236505-SALARIOS Y PAGOS LABORALES-SUBCUENTA</v>
      </c>
      <c r="Q779" t="s">
        <v>2627</v>
      </c>
    </row>
    <row r="780" spans="13:17" x14ac:dyDescent="0.25">
      <c r="M780" s="34">
        <v>236510</v>
      </c>
      <c r="N780" s="2" t="s">
        <v>430</v>
      </c>
      <c r="O780" s="2" t="s">
        <v>183</v>
      </c>
      <c r="P780" s="2" t="str">
        <f t="shared" si="15"/>
        <v>236510-DIVIDENDOS Y/O PARTICIPACIONES-SUBCUENTA</v>
      </c>
      <c r="Q780" t="s">
        <v>2628</v>
      </c>
    </row>
    <row r="781" spans="13:17" x14ac:dyDescent="0.25">
      <c r="M781" s="34">
        <v>236515</v>
      </c>
      <c r="N781" s="2" t="s">
        <v>433</v>
      </c>
      <c r="O781" s="2" t="s">
        <v>183</v>
      </c>
      <c r="P781" s="2" t="str">
        <f t="shared" si="15"/>
        <v>236515-HONORARIOS-SUBCUENTA</v>
      </c>
      <c r="Q781" t="s">
        <v>2629</v>
      </c>
    </row>
    <row r="782" spans="13:17" x14ac:dyDescent="0.25">
      <c r="M782" s="34">
        <v>236520</v>
      </c>
      <c r="N782" s="2" t="s">
        <v>432</v>
      </c>
      <c r="O782" s="2" t="s">
        <v>183</v>
      </c>
      <c r="P782" s="2" t="str">
        <f t="shared" si="15"/>
        <v>236520-COMISIONES-SUBCUENTA</v>
      </c>
      <c r="Q782" t="s">
        <v>2630</v>
      </c>
    </row>
    <row r="783" spans="13:17" x14ac:dyDescent="0.25">
      <c r="M783" s="34">
        <v>236525</v>
      </c>
      <c r="N783" s="2" t="s">
        <v>434</v>
      </c>
      <c r="O783" s="2" t="s">
        <v>183</v>
      </c>
      <c r="P783" s="2" t="str">
        <f t="shared" si="15"/>
        <v>236525-SERVICIOS-SUBCUENTA</v>
      </c>
      <c r="Q783" t="s">
        <v>2631</v>
      </c>
    </row>
    <row r="784" spans="13:17" x14ac:dyDescent="0.25">
      <c r="M784" s="34">
        <v>236530</v>
      </c>
      <c r="N784" s="2" t="s">
        <v>435</v>
      </c>
      <c r="O784" s="2" t="s">
        <v>183</v>
      </c>
      <c r="P784" s="2" t="str">
        <f t="shared" si="15"/>
        <v>236530-ARRENDAMIENTOS-SUBCUENTA</v>
      </c>
      <c r="Q784" t="s">
        <v>2632</v>
      </c>
    </row>
    <row r="785" spans="13:17" x14ac:dyDescent="0.25">
      <c r="M785" s="34">
        <v>236535</v>
      </c>
      <c r="N785" s="2" t="s">
        <v>751</v>
      </c>
      <c r="O785" s="2" t="s">
        <v>183</v>
      </c>
      <c r="P785" s="2" t="str">
        <f t="shared" si="15"/>
        <v>236535-RENDIMIENTOS FINANCIEROS-SUBCUENTA</v>
      </c>
      <c r="Q785" t="s">
        <v>2633</v>
      </c>
    </row>
    <row r="786" spans="13:17" x14ac:dyDescent="0.25">
      <c r="M786" s="34">
        <v>236540</v>
      </c>
      <c r="N786" s="2" t="s">
        <v>752</v>
      </c>
      <c r="O786" s="2" t="s">
        <v>183</v>
      </c>
      <c r="P786" s="2" t="str">
        <f t="shared" si="15"/>
        <v>236540-COMPRAS-SUBCUENTA</v>
      </c>
      <c r="Q786" t="s">
        <v>2634</v>
      </c>
    </row>
    <row r="787" spans="13:17" x14ac:dyDescent="0.25">
      <c r="M787" s="34">
        <v>236545</v>
      </c>
      <c r="N787" s="2" t="s">
        <v>753</v>
      </c>
      <c r="O787" s="2" t="s">
        <v>183</v>
      </c>
      <c r="P787" s="2" t="str">
        <f t="shared" si="15"/>
        <v>236545-LOTERIAS, RIFAS, APUESTAS Y SIMILARES-SUBCUENTA</v>
      </c>
      <c r="Q787" t="s">
        <v>2635</v>
      </c>
    </row>
    <row r="788" spans="13:17" x14ac:dyDescent="0.25">
      <c r="M788" s="34">
        <v>236550</v>
      </c>
      <c r="N788" s="2" t="s">
        <v>754</v>
      </c>
      <c r="O788" s="2" t="s">
        <v>183</v>
      </c>
      <c r="P788" s="2" t="str">
        <f t="shared" si="15"/>
        <v>236550-POR PAGOS AL EXTERIOR-SUBCUENTA</v>
      </c>
      <c r="Q788" t="s">
        <v>2636</v>
      </c>
    </row>
    <row r="789" spans="13:17" x14ac:dyDescent="0.25">
      <c r="M789" s="34">
        <v>236555</v>
      </c>
      <c r="N789" s="2" t="s">
        <v>755</v>
      </c>
      <c r="O789" s="2" t="s">
        <v>183</v>
      </c>
      <c r="P789" s="2" t="str">
        <f t="shared" si="15"/>
        <v>236555-POR INGRESOS OBTENIDOS EN EL EXTERIOR-SUBCUENTA</v>
      </c>
      <c r="Q789" t="s">
        <v>2637</v>
      </c>
    </row>
    <row r="790" spans="13:17" x14ac:dyDescent="0.25">
      <c r="M790" s="34">
        <v>236560</v>
      </c>
      <c r="N790" s="2" t="s">
        <v>756</v>
      </c>
      <c r="O790" s="2" t="s">
        <v>183</v>
      </c>
      <c r="P790" s="2" t="str">
        <f t="shared" si="15"/>
        <v>236560-ENAJENACION PROPIEDADES PLANTA Y EQUIPO PERSONAS NATURALES-SUBCUENTA</v>
      </c>
      <c r="Q790" t="s">
        <v>2638</v>
      </c>
    </row>
    <row r="791" spans="13:17" x14ac:dyDescent="0.25">
      <c r="M791" s="34">
        <v>236565</v>
      </c>
      <c r="N791" s="2" t="s">
        <v>757</v>
      </c>
      <c r="O791" s="2" t="s">
        <v>183</v>
      </c>
      <c r="P791" s="2" t="str">
        <f t="shared" si="15"/>
        <v>236565-POR IMPUESTO DE TIMBRE-SUBCUENTA</v>
      </c>
      <c r="Q791" t="s">
        <v>2639</v>
      </c>
    </row>
    <row r="792" spans="13:17" x14ac:dyDescent="0.25">
      <c r="M792" s="34">
        <v>236570</v>
      </c>
      <c r="N792" s="2" t="s">
        <v>758</v>
      </c>
      <c r="O792" s="2" t="s">
        <v>183</v>
      </c>
      <c r="P792" s="2" t="str">
        <f t="shared" si="15"/>
        <v>236570-OTRAS RETENCIONES Y PATRIMONIO-SUBCUENTA</v>
      </c>
      <c r="Q792" t="s">
        <v>2640</v>
      </c>
    </row>
    <row r="793" spans="13:17" x14ac:dyDescent="0.25">
      <c r="M793" s="34">
        <v>236575</v>
      </c>
      <c r="N793" s="2" t="s">
        <v>759</v>
      </c>
      <c r="O793" s="2" t="s">
        <v>183</v>
      </c>
      <c r="P793" s="2" t="str">
        <f t="shared" si="15"/>
        <v>236575-AUTORRETENCIONES-SUBCUENTA</v>
      </c>
      <c r="Q793" t="s">
        <v>2641</v>
      </c>
    </row>
    <row r="794" spans="13:17" x14ac:dyDescent="0.25">
      <c r="M794" s="34">
        <v>2370</v>
      </c>
      <c r="N794" s="2" t="s">
        <v>760</v>
      </c>
      <c r="O794" s="2" t="s">
        <v>182</v>
      </c>
      <c r="P794" s="2" t="str">
        <f t="shared" si="15"/>
        <v>2370-RETENCIONES Y APORTES DE NOMINA-CUENTA</v>
      </c>
      <c r="Q794" t="s">
        <v>2642</v>
      </c>
    </row>
    <row r="795" spans="13:17" x14ac:dyDescent="0.25">
      <c r="M795" s="34">
        <v>237005</v>
      </c>
      <c r="N795" s="2" t="s">
        <v>761</v>
      </c>
      <c r="O795" s="2" t="s">
        <v>183</v>
      </c>
      <c r="P795" s="2" t="str">
        <f t="shared" si="15"/>
        <v>237005-APORTES AL I.S.S.-SUBCUENTA</v>
      </c>
      <c r="Q795" t="s">
        <v>1576</v>
      </c>
    </row>
    <row r="796" spans="13:17" x14ac:dyDescent="0.25">
      <c r="M796" s="34">
        <v>237010</v>
      </c>
      <c r="N796" s="2" t="s">
        <v>762</v>
      </c>
      <c r="O796" s="2" t="s">
        <v>183</v>
      </c>
      <c r="P796" s="2" t="str">
        <f t="shared" si="15"/>
        <v>237010-APORTES AL I.C.B.F., SENA Y CAJAS DE COMPENSACION-SUBCUENTA</v>
      </c>
      <c r="Q796" t="s">
        <v>2643</v>
      </c>
    </row>
    <row r="797" spans="13:17" x14ac:dyDescent="0.25">
      <c r="M797" s="34">
        <v>237015</v>
      </c>
      <c r="N797" s="2" t="s">
        <v>763</v>
      </c>
      <c r="O797" s="2" t="s">
        <v>183</v>
      </c>
      <c r="P797" s="2" t="str">
        <f t="shared" si="15"/>
        <v>237015-APORTES AL F.I.C.-SUBCUENTA</v>
      </c>
      <c r="Q797" t="s">
        <v>2644</v>
      </c>
    </row>
    <row r="798" spans="13:17" x14ac:dyDescent="0.25">
      <c r="M798" s="34">
        <v>237025</v>
      </c>
      <c r="N798" s="2" t="s">
        <v>764</v>
      </c>
      <c r="O798" s="2" t="s">
        <v>183</v>
      </c>
      <c r="P798" s="2" t="str">
        <f t="shared" si="15"/>
        <v>237025-EMBARGOS JUDICIALES-SUBCUENTA</v>
      </c>
      <c r="Q798" t="s">
        <v>2645</v>
      </c>
    </row>
    <row r="799" spans="13:17" x14ac:dyDescent="0.25">
      <c r="M799" s="34">
        <v>237030</v>
      </c>
      <c r="N799" s="2" t="s">
        <v>765</v>
      </c>
      <c r="O799" s="2" t="s">
        <v>183</v>
      </c>
      <c r="P799" s="2" t="str">
        <f t="shared" si="15"/>
        <v>237030-LIBRANZAS-SUBCUENTA</v>
      </c>
      <c r="Q799" t="s">
        <v>2646</v>
      </c>
    </row>
    <row r="800" spans="13:17" x14ac:dyDescent="0.25">
      <c r="M800" s="34">
        <v>237035</v>
      </c>
      <c r="N800" s="2" t="s">
        <v>766</v>
      </c>
      <c r="O800" s="2" t="s">
        <v>183</v>
      </c>
      <c r="P800" s="2" t="str">
        <f t="shared" si="15"/>
        <v>237035-SINDICATOS-SUBCUENTA</v>
      </c>
      <c r="Q800" t="s">
        <v>2647</v>
      </c>
    </row>
    <row r="801" spans="13:17" x14ac:dyDescent="0.25">
      <c r="M801" s="34">
        <v>237040</v>
      </c>
      <c r="N801" s="2" t="s">
        <v>767</v>
      </c>
      <c r="O801" s="2" t="s">
        <v>183</v>
      </c>
      <c r="P801" s="2" t="str">
        <f t="shared" si="15"/>
        <v>237040-COOPERATIVAS-SUBCUENTA</v>
      </c>
      <c r="Q801" t="s">
        <v>2648</v>
      </c>
    </row>
    <row r="802" spans="13:17" x14ac:dyDescent="0.25">
      <c r="M802" s="34">
        <v>237045</v>
      </c>
      <c r="N802" s="2" t="s">
        <v>768</v>
      </c>
      <c r="O802" s="2" t="s">
        <v>183</v>
      </c>
      <c r="P802" s="2" t="str">
        <f t="shared" si="15"/>
        <v>237045-FONDOS-SUBCUENTA</v>
      </c>
      <c r="Q802" t="s">
        <v>2649</v>
      </c>
    </row>
    <row r="803" spans="13:17" x14ac:dyDescent="0.25">
      <c r="M803" s="34">
        <v>237095</v>
      </c>
      <c r="N803" s="2" t="s">
        <v>323</v>
      </c>
      <c r="O803" s="2" t="s">
        <v>183</v>
      </c>
      <c r="P803" s="2" t="str">
        <f t="shared" si="15"/>
        <v>237095-OTROS-SUBCUENTA</v>
      </c>
      <c r="Q803" t="s">
        <v>2650</v>
      </c>
    </row>
    <row r="804" spans="13:17" x14ac:dyDescent="0.25">
      <c r="M804" s="34">
        <v>2375</v>
      </c>
      <c r="N804" s="2" t="s">
        <v>769</v>
      </c>
      <c r="O804" s="2" t="s">
        <v>182</v>
      </c>
      <c r="P804" s="2" t="str">
        <f t="shared" si="15"/>
        <v>2375-CUOTAS POR DEVOLVER-CUENTA</v>
      </c>
      <c r="Q804" t="s">
        <v>2651</v>
      </c>
    </row>
    <row r="805" spans="13:17" x14ac:dyDescent="0.25">
      <c r="M805" s="34" t="s">
        <v>227</v>
      </c>
      <c r="N805" s="2" t="s">
        <v>188</v>
      </c>
      <c r="O805" s="2" t="s">
        <v>188</v>
      </c>
      <c r="P805" s="2" t="str">
        <f t="shared" si="15"/>
        <v xml:space="preserve">237501 a 237598 </v>
      </c>
      <c r="Q805" t="s">
        <v>2652</v>
      </c>
    </row>
    <row r="806" spans="13:17" x14ac:dyDescent="0.25">
      <c r="M806" s="34">
        <v>2380</v>
      </c>
      <c r="N806" s="2" t="s">
        <v>770</v>
      </c>
      <c r="O806" s="2" t="s">
        <v>182</v>
      </c>
      <c r="P806" s="2" t="str">
        <f t="shared" si="15"/>
        <v>2380-ACREEDORES VARIOS-CUENTA</v>
      </c>
      <c r="Q806" t="s">
        <v>2653</v>
      </c>
    </row>
    <row r="807" spans="13:17" x14ac:dyDescent="0.25">
      <c r="M807" s="34">
        <v>238005</v>
      </c>
      <c r="N807" s="2" t="s">
        <v>462</v>
      </c>
      <c r="O807" s="2" t="s">
        <v>183</v>
      </c>
      <c r="P807" s="2" t="str">
        <f t="shared" si="15"/>
        <v>238005-DEPOSITARIOS-SUBCUENTA</v>
      </c>
      <c r="Q807" t="s">
        <v>1561</v>
      </c>
    </row>
    <row r="808" spans="13:17" x14ac:dyDescent="0.25">
      <c r="M808" s="34">
        <v>238010</v>
      </c>
      <c r="N808" s="2" t="s">
        <v>463</v>
      </c>
      <c r="O808" s="2" t="s">
        <v>183</v>
      </c>
      <c r="P808" s="2" t="str">
        <f t="shared" si="15"/>
        <v>238010-COMISIONISTAS DE BOLSAS-SUBCUENTA</v>
      </c>
      <c r="Q808" t="s">
        <v>2654</v>
      </c>
    </row>
    <row r="809" spans="13:17" x14ac:dyDescent="0.25">
      <c r="M809" s="34">
        <v>238015</v>
      </c>
      <c r="N809" s="2" t="s">
        <v>771</v>
      </c>
      <c r="O809" s="2" t="s">
        <v>183</v>
      </c>
      <c r="P809" s="2" t="str">
        <f t="shared" si="15"/>
        <v>238015-SOCIEDAD ADMINISTRADORA - FONDOS DE INVERSION-SUBCUENTA</v>
      </c>
      <c r="Q809" t="s">
        <v>2655</v>
      </c>
    </row>
    <row r="810" spans="13:17" x14ac:dyDescent="0.25">
      <c r="M810" s="34">
        <v>238020</v>
      </c>
      <c r="N810" s="2" t="s">
        <v>772</v>
      </c>
      <c r="O810" s="2" t="s">
        <v>183</v>
      </c>
      <c r="P810" s="2" t="str">
        <f t="shared" si="15"/>
        <v>238020-REINTEGROS POR PAGAR-SUBCUENTA</v>
      </c>
      <c r="Q810" t="s">
        <v>2656</v>
      </c>
    </row>
    <row r="811" spans="13:17" x14ac:dyDescent="0.25">
      <c r="M811" s="34">
        <v>238025</v>
      </c>
      <c r="N811" s="2" t="s">
        <v>773</v>
      </c>
      <c r="O811" s="2" t="s">
        <v>183</v>
      </c>
      <c r="P811" s="2" t="str">
        <f t="shared" si="15"/>
        <v>238025-FONDO DE PERSEVERANCIA-SUBCUENTA</v>
      </c>
      <c r="Q811" t="s">
        <v>2657</v>
      </c>
    </row>
    <row r="812" spans="13:17" x14ac:dyDescent="0.25">
      <c r="M812" s="34">
        <v>238030</v>
      </c>
      <c r="N812" s="2" t="s">
        <v>774</v>
      </c>
      <c r="O812" s="2" t="s">
        <v>183</v>
      </c>
      <c r="P812" s="2" t="str">
        <f t="shared" si="15"/>
        <v>238030-FONDOS DE CESANTIAS Y/O PENSIONES-SUBCUENTA</v>
      </c>
      <c r="Q812" t="s">
        <v>2658</v>
      </c>
    </row>
    <row r="813" spans="13:17" x14ac:dyDescent="0.25">
      <c r="M813" s="34">
        <v>238035</v>
      </c>
      <c r="N813" s="2" t="s">
        <v>775</v>
      </c>
      <c r="O813" s="2" t="s">
        <v>183</v>
      </c>
      <c r="P813" s="2" t="str">
        <f t="shared" si="15"/>
        <v>238035-DONACIONES ASIGNADAS POR PAGAR-SUBCUENTA</v>
      </c>
      <c r="Q813" t="s">
        <v>2659</v>
      </c>
    </row>
    <row r="814" spans="13:17" x14ac:dyDescent="0.25">
      <c r="M814" s="34">
        <v>238095</v>
      </c>
      <c r="N814" s="2" t="s">
        <v>323</v>
      </c>
      <c r="O814" s="2" t="s">
        <v>183</v>
      </c>
      <c r="P814" s="2" t="str">
        <f t="shared" si="15"/>
        <v>238095-OTROS-SUBCUENTA</v>
      </c>
      <c r="Q814" t="s">
        <v>1570</v>
      </c>
    </row>
    <row r="815" spans="13:17" x14ac:dyDescent="0.25">
      <c r="M815" s="34">
        <v>24</v>
      </c>
      <c r="N815" s="2" t="s">
        <v>776</v>
      </c>
      <c r="O815" s="2" t="s">
        <v>181</v>
      </c>
      <c r="P815" s="2" t="str">
        <f t="shared" si="15"/>
        <v>24-IMPUESTOS, GRAVAMENES Y TASAS-GRUPO</v>
      </c>
      <c r="Q815" t="s">
        <v>2660</v>
      </c>
    </row>
    <row r="816" spans="13:17" x14ac:dyDescent="0.25">
      <c r="M816" s="34">
        <v>2404</v>
      </c>
      <c r="N816" s="2" t="s">
        <v>777</v>
      </c>
      <c r="O816" s="2" t="s">
        <v>182</v>
      </c>
      <c r="P816" s="2" t="str">
        <f t="shared" si="15"/>
        <v>2404-DE RENTA Y COMPLEMENTARIOS-CUENTA</v>
      </c>
      <c r="Q816" t="s">
        <v>2661</v>
      </c>
    </row>
    <row r="817" spans="13:17" x14ac:dyDescent="0.25">
      <c r="M817" s="34">
        <v>240405</v>
      </c>
      <c r="N817" s="2" t="s">
        <v>778</v>
      </c>
      <c r="O817" s="2" t="s">
        <v>183</v>
      </c>
      <c r="P817" s="2" t="str">
        <f t="shared" si="15"/>
        <v>240405-VIGENCIA FISCAL CORRIENTE-SUBCUENTA</v>
      </c>
      <c r="Q817" t="s">
        <v>2662</v>
      </c>
    </row>
    <row r="818" spans="13:17" x14ac:dyDescent="0.25">
      <c r="M818" s="34">
        <v>240410</v>
      </c>
      <c r="N818" s="2" t="s">
        <v>779</v>
      </c>
      <c r="O818" s="2" t="s">
        <v>183</v>
      </c>
      <c r="P818" s="2" t="str">
        <f t="shared" si="15"/>
        <v>240410-VIGENCIAS FISCALES ANTERIORES-SUBCUENTA</v>
      </c>
      <c r="Q818" t="s">
        <v>2663</v>
      </c>
    </row>
    <row r="819" spans="13:17" x14ac:dyDescent="0.25">
      <c r="M819" s="34">
        <v>2408</v>
      </c>
      <c r="N819" s="2" t="s">
        <v>780</v>
      </c>
      <c r="O819" s="2" t="s">
        <v>182</v>
      </c>
      <c r="P819" s="2" t="str">
        <f t="shared" si="15"/>
        <v>2408-IMPUESTO SOBRE LAS VENTAS POR PAGAR-CUENTA</v>
      </c>
      <c r="Q819" t="s">
        <v>2664</v>
      </c>
    </row>
    <row r="820" spans="13:17" x14ac:dyDescent="0.25">
      <c r="M820" s="34" t="s">
        <v>228</v>
      </c>
      <c r="N820" s="2" t="s">
        <v>188</v>
      </c>
      <c r="O820" s="2" t="s">
        <v>188</v>
      </c>
      <c r="P820" s="2" t="str">
        <f t="shared" si="15"/>
        <v xml:space="preserve">240801 a 240898 </v>
      </c>
      <c r="Q820" t="s">
        <v>2665</v>
      </c>
    </row>
    <row r="821" spans="13:17" x14ac:dyDescent="0.25">
      <c r="M821" s="34">
        <v>2412</v>
      </c>
      <c r="N821" s="2" t="s">
        <v>781</v>
      </c>
      <c r="O821" s="2" t="s">
        <v>182</v>
      </c>
      <c r="P821" s="2" t="str">
        <f t="shared" si="15"/>
        <v>2412-DE INDUSTRIA Y COMERCIO-CUENTA</v>
      </c>
      <c r="Q821" t="s">
        <v>2666</v>
      </c>
    </row>
    <row r="822" spans="13:17" x14ac:dyDescent="0.25">
      <c r="M822" s="34">
        <v>241205</v>
      </c>
      <c r="N822" s="2" t="s">
        <v>778</v>
      </c>
      <c r="O822" s="2" t="s">
        <v>183</v>
      </c>
      <c r="P822" s="2" t="str">
        <f t="shared" si="15"/>
        <v>241205-VIGENCIA FISCAL CORRIENTE-SUBCUENTA</v>
      </c>
      <c r="Q822" t="s">
        <v>2667</v>
      </c>
    </row>
    <row r="823" spans="13:17" x14ac:dyDescent="0.25">
      <c r="M823" s="34">
        <v>241210</v>
      </c>
      <c r="N823" s="2" t="s">
        <v>779</v>
      </c>
      <c r="O823" s="2" t="s">
        <v>183</v>
      </c>
      <c r="P823" s="2" t="str">
        <f t="shared" si="15"/>
        <v>241210-VIGENCIAS FISCALES ANTERIORES-SUBCUENTA</v>
      </c>
      <c r="Q823" t="s">
        <v>2668</v>
      </c>
    </row>
    <row r="824" spans="13:17" x14ac:dyDescent="0.25">
      <c r="M824" s="34">
        <v>2416</v>
      </c>
      <c r="N824" s="2" t="s">
        <v>782</v>
      </c>
      <c r="O824" s="2" t="s">
        <v>182</v>
      </c>
      <c r="P824" s="2" t="str">
        <f t="shared" si="15"/>
        <v>2416-A LA PROPIEDAD RAIZ-CUENTA</v>
      </c>
      <c r="Q824" t="s">
        <v>2669</v>
      </c>
    </row>
    <row r="825" spans="13:17" x14ac:dyDescent="0.25">
      <c r="M825" s="34" t="s">
        <v>229</v>
      </c>
      <c r="N825" s="2" t="s">
        <v>188</v>
      </c>
      <c r="O825" s="2" t="s">
        <v>188</v>
      </c>
      <c r="P825" s="2" t="str">
        <f t="shared" si="15"/>
        <v xml:space="preserve">241601 a 241698 </v>
      </c>
      <c r="Q825" t="s">
        <v>2670</v>
      </c>
    </row>
    <row r="826" spans="13:17" x14ac:dyDescent="0.25">
      <c r="M826" s="34">
        <v>2420</v>
      </c>
      <c r="N826" s="2" t="s">
        <v>783</v>
      </c>
      <c r="O826" s="2" t="s">
        <v>182</v>
      </c>
      <c r="P826" s="2" t="str">
        <f t="shared" si="15"/>
        <v>2420-DERECHOS SOBRE INSTRUMENTOS PUBLICOS-CUENTA</v>
      </c>
      <c r="Q826" t="s">
        <v>2671</v>
      </c>
    </row>
    <row r="827" spans="13:17" x14ac:dyDescent="0.25">
      <c r="M827" s="34" t="s">
        <v>230</v>
      </c>
      <c r="N827" s="2" t="s">
        <v>188</v>
      </c>
      <c r="O827" s="2" t="s">
        <v>188</v>
      </c>
      <c r="P827" s="2" t="str">
        <f t="shared" si="15"/>
        <v xml:space="preserve">242001 a 242098 </v>
      </c>
      <c r="Q827" t="s">
        <v>2672</v>
      </c>
    </row>
    <row r="828" spans="13:17" x14ac:dyDescent="0.25">
      <c r="M828" s="34">
        <v>2424</v>
      </c>
      <c r="N828" s="2" t="s">
        <v>784</v>
      </c>
      <c r="O828" s="2" t="s">
        <v>182</v>
      </c>
      <c r="P828" s="2" t="str">
        <f t="shared" si="15"/>
        <v>2424-DE VALORIZACION-CUENTA</v>
      </c>
      <c r="Q828" t="s">
        <v>2673</v>
      </c>
    </row>
    <row r="829" spans="13:17" x14ac:dyDescent="0.25">
      <c r="M829" s="34">
        <v>242405</v>
      </c>
      <c r="N829" s="2" t="s">
        <v>778</v>
      </c>
      <c r="O829" s="2" t="s">
        <v>183</v>
      </c>
      <c r="P829" s="2" t="str">
        <f t="shared" si="15"/>
        <v>242405-VIGENCIA FISCAL CORRIENTE-SUBCUENTA</v>
      </c>
      <c r="Q829" t="s">
        <v>2674</v>
      </c>
    </row>
    <row r="830" spans="13:17" x14ac:dyDescent="0.25">
      <c r="M830" s="34">
        <v>242410</v>
      </c>
      <c r="N830" s="2" t="s">
        <v>779</v>
      </c>
      <c r="O830" s="2" t="s">
        <v>183</v>
      </c>
      <c r="P830" s="2" t="str">
        <f t="shared" si="15"/>
        <v>242410-VIGENCIAS FISCALES ANTERIORES-SUBCUENTA</v>
      </c>
      <c r="Q830" t="s">
        <v>2675</v>
      </c>
    </row>
    <row r="831" spans="13:17" x14ac:dyDescent="0.25">
      <c r="M831" s="34">
        <v>2428</v>
      </c>
      <c r="N831" s="2" t="s">
        <v>785</v>
      </c>
      <c r="O831" s="2" t="s">
        <v>182</v>
      </c>
      <c r="P831" s="2" t="str">
        <f t="shared" si="15"/>
        <v>2428-DE TURISMO-CUENTA</v>
      </c>
      <c r="Q831" t="s">
        <v>2676</v>
      </c>
    </row>
    <row r="832" spans="13:17" x14ac:dyDescent="0.25">
      <c r="M832" s="34" t="s">
        <v>231</v>
      </c>
      <c r="N832" s="2" t="s">
        <v>188</v>
      </c>
      <c r="O832" s="2" t="s">
        <v>188</v>
      </c>
      <c r="P832" s="2" t="str">
        <f t="shared" si="15"/>
        <v xml:space="preserve">242801 a 242898 </v>
      </c>
      <c r="Q832" t="s">
        <v>2677</v>
      </c>
    </row>
    <row r="833" spans="13:17" x14ac:dyDescent="0.25">
      <c r="M833" s="34">
        <v>2432</v>
      </c>
      <c r="N833" s="2" t="s">
        <v>786</v>
      </c>
      <c r="O833" s="2" t="s">
        <v>182</v>
      </c>
      <c r="P833" s="2" t="str">
        <f t="shared" si="15"/>
        <v>2432-TASA POR UTILIZACION DE PUERTOS-CUENTA</v>
      </c>
      <c r="Q833" t="s">
        <v>2678</v>
      </c>
    </row>
    <row r="834" spans="13:17" x14ac:dyDescent="0.25">
      <c r="M834" s="34" t="s">
        <v>232</v>
      </c>
      <c r="N834" s="2" t="s">
        <v>188</v>
      </c>
      <c r="O834" s="2" t="s">
        <v>188</v>
      </c>
      <c r="P834" s="2" t="str">
        <f t="shared" si="15"/>
        <v xml:space="preserve">243201 a 243298 </v>
      </c>
      <c r="Q834" t="s">
        <v>2679</v>
      </c>
    </row>
    <row r="835" spans="13:17" x14ac:dyDescent="0.25">
      <c r="M835" s="34">
        <v>2436</v>
      </c>
      <c r="N835" s="2" t="s">
        <v>787</v>
      </c>
      <c r="O835" s="2" t="s">
        <v>182</v>
      </c>
      <c r="P835" s="2" t="str">
        <f t="shared" si="15"/>
        <v>2436-DE VEHICULOS-CUENTA</v>
      </c>
      <c r="Q835" t="s">
        <v>2680</v>
      </c>
    </row>
    <row r="836" spans="13:17" x14ac:dyDescent="0.25">
      <c r="M836" s="34">
        <v>243605</v>
      </c>
      <c r="N836" s="2" t="s">
        <v>778</v>
      </c>
      <c r="O836" s="2" t="s">
        <v>183</v>
      </c>
      <c r="P836" s="2" t="str">
        <f t="shared" ref="P836:P899" si="16">IF(AND(M836&lt;&gt;"",N836&lt;&gt;"",O836&lt;&gt;""),M836&amp;"-"&amp;N836&amp;"-"&amp;O836,IF(AND(M836="",N836&lt;&gt;"",O836&lt;&gt;""),N836&amp;"-"&amp;O836,IF(AND(M836&lt;&gt;"",N836="",O836&lt;&gt;""),M836&amp;"-"&amp;O836,IF(AND(M836&lt;&gt;"",N836&lt;&gt;"",O836=""),M836&amp;"-"&amp;N836,IF(AND(M836&lt;&gt;"",N836="",O836=""),M836,"")))))</f>
        <v>243605-VIGENCIA FISCAL CORRIENTE-SUBCUENTA</v>
      </c>
      <c r="Q836" t="s">
        <v>2681</v>
      </c>
    </row>
    <row r="837" spans="13:17" x14ac:dyDescent="0.25">
      <c r="M837" s="34">
        <v>243610</v>
      </c>
      <c r="N837" s="2" t="s">
        <v>779</v>
      </c>
      <c r="O837" s="2" t="s">
        <v>183</v>
      </c>
      <c r="P837" s="2" t="str">
        <f t="shared" si="16"/>
        <v>243610-VIGENCIAS FISCALES ANTERIORES-SUBCUENTA</v>
      </c>
      <c r="Q837" t="s">
        <v>2682</v>
      </c>
    </row>
    <row r="838" spans="13:17" x14ac:dyDescent="0.25">
      <c r="M838" s="34">
        <v>2440</v>
      </c>
      <c r="N838" s="2" t="s">
        <v>788</v>
      </c>
      <c r="O838" s="2" t="s">
        <v>182</v>
      </c>
      <c r="P838" s="2" t="str">
        <f t="shared" si="16"/>
        <v>2440-DE ESPECTACULOS PUBLICOS-CUENTA</v>
      </c>
      <c r="Q838" t="s">
        <v>2683</v>
      </c>
    </row>
    <row r="839" spans="13:17" x14ac:dyDescent="0.25">
      <c r="M839" s="34" t="s">
        <v>233</v>
      </c>
      <c r="N839" s="2" t="s">
        <v>188</v>
      </c>
      <c r="O839" s="2" t="s">
        <v>188</v>
      </c>
      <c r="P839" s="2" t="str">
        <f t="shared" si="16"/>
        <v xml:space="preserve">244001 a 244098 </v>
      </c>
      <c r="Q839" t="s">
        <v>2684</v>
      </c>
    </row>
    <row r="840" spans="13:17" x14ac:dyDescent="0.25">
      <c r="M840" s="34">
        <v>2444</v>
      </c>
      <c r="N840" s="2" t="s">
        <v>789</v>
      </c>
      <c r="O840" s="2" t="s">
        <v>182</v>
      </c>
      <c r="P840" s="2" t="str">
        <f t="shared" si="16"/>
        <v>2444-DE HIDROCARBUROS Y MINAS-CUENTA</v>
      </c>
      <c r="Q840" t="s">
        <v>2685</v>
      </c>
    </row>
    <row r="841" spans="13:17" x14ac:dyDescent="0.25">
      <c r="M841" s="34">
        <v>244405</v>
      </c>
      <c r="N841" s="2" t="s">
        <v>790</v>
      </c>
      <c r="O841" s="2" t="s">
        <v>183</v>
      </c>
      <c r="P841" s="2" t="str">
        <f t="shared" si="16"/>
        <v>244405-DE HIDROCARBUROS-SUBCUENTA</v>
      </c>
      <c r="Q841" t="s">
        <v>2686</v>
      </c>
    </row>
    <row r="842" spans="13:17" x14ac:dyDescent="0.25">
      <c r="M842" s="34">
        <v>244410</v>
      </c>
      <c r="N842" s="2" t="s">
        <v>791</v>
      </c>
      <c r="O842" s="2" t="s">
        <v>183</v>
      </c>
      <c r="P842" s="2" t="str">
        <f t="shared" si="16"/>
        <v>244410-DE MINAS-SUBCUENTA</v>
      </c>
      <c r="Q842" t="s">
        <v>2687</v>
      </c>
    </row>
    <row r="843" spans="13:17" x14ac:dyDescent="0.25">
      <c r="M843" s="34">
        <v>2448</v>
      </c>
      <c r="N843" s="2" t="s">
        <v>792</v>
      </c>
      <c r="O843" s="2" t="s">
        <v>182</v>
      </c>
      <c r="P843" s="2" t="str">
        <f t="shared" si="16"/>
        <v>2448-REGALIAS E IMPUESTOS A LA PEQUEÑA Y MEDIANA MINERIA-CUENTA</v>
      </c>
      <c r="Q843" t="s">
        <v>2688</v>
      </c>
    </row>
    <row r="844" spans="13:17" x14ac:dyDescent="0.25">
      <c r="M844" s="34" t="s">
        <v>234</v>
      </c>
      <c r="N844" s="2" t="s">
        <v>188</v>
      </c>
      <c r="O844" s="2" t="s">
        <v>188</v>
      </c>
      <c r="P844" s="2" t="str">
        <f t="shared" si="16"/>
        <v xml:space="preserve">244801 a 244898 </v>
      </c>
      <c r="Q844" t="s">
        <v>1569</v>
      </c>
    </row>
    <row r="845" spans="13:17" x14ac:dyDescent="0.25">
      <c r="M845" s="34">
        <v>2452</v>
      </c>
      <c r="N845" s="2" t="s">
        <v>793</v>
      </c>
      <c r="O845" s="2" t="s">
        <v>182</v>
      </c>
      <c r="P845" s="2" t="str">
        <f t="shared" si="16"/>
        <v>2452-A LAS EXPORTACIONES CAFETERAS-CUENTA</v>
      </c>
      <c r="Q845" t="s">
        <v>2689</v>
      </c>
    </row>
    <row r="846" spans="13:17" x14ac:dyDescent="0.25">
      <c r="M846" s="34" t="s">
        <v>235</v>
      </c>
      <c r="N846" s="2" t="s">
        <v>188</v>
      </c>
      <c r="O846" s="2" t="s">
        <v>188</v>
      </c>
      <c r="P846" s="2" t="str">
        <f t="shared" si="16"/>
        <v xml:space="preserve">245201 a 245298 </v>
      </c>
      <c r="Q846" t="s">
        <v>2690</v>
      </c>
    </row>
    <row r="847" spans="13:17" x14ac:dyDescent="0.25">
      <c r="M847" s="34">
        <v>2456</v>
      </c>
      <c r="N847" s="2" t="s">
        <v>794</v>
      </c>
      <c r="O847" s="2" t="s">
        <v>182</v>
      </c>
      <c r="P847" s="2" t="str">
        <f t="shared" si="16"/>
        <v>2456-A LAS IMPORTACIONES-CUENTA</v>
      </c>
      <c r="Q847" t="s">
        <v>2691</v>
      </c>
    </row>
    <row r="848" spans="13:17" x14ac:dyDescent="0.25">
      <c r="M848" s="34" t="s">
        <v>236</v>
      </c>
      <c r="N848" s="2" t="s">
        <v>188</v>
      </c>
      <c r="O848" s="2" t="s">
        <v>188</v>
      </c>
      <c r="P848" s="2" t="str">
        <f t="shared" si="16"/>
        <v xml:space="preserve">245601 a 245698 </v>
      </c>
      <c r="Q848" t="s">
        <v>2692</v>
      </c>
    </row>
    <row r="849" spans="13:17" x14ac:dyDescent="0.25">
      <c r="M849" s="34">
        <v>2460</v>
      </c>
      <c r="N849" s="2" t="s">
        <v>795</v>
      </c>
      <c r="O849" s="2" t="s">
        <v>182</v>
      </c>
      <c r="P849" s="2" t="str">
        <f t="shared" si="16"/>
        <v>2460-CUOTAS DE FOMENTO-CUENTA</v>
      </c>
      <c r="Q849" t="s">
        <v>2693</v>
      </c>
    </row>
    <row r="850" spans="13:17" x14ac:dyDescent="0.25">
      <c r="M850" s="34" t="s">
        <v>237</v>
      </c>
      <c r="N850" s="2" t="s">
        <v>188</v>
      </c>
      <c r="O850" s="2" t="s">
        <v>188</v>
      </c>
      <c r="P850" s="2" t="str">
        <f t="shared" si="16"/>
        <v xml:space="preserve">246001 a 246098 </v>
      </c>
      <c r="Q850" t="s">
        <v>2694</v>
      </c>
    </row>
    <row r="851" spans="13:17" x14ac:dyDescent="0.25">
      <c r="M851" s="34">
        <v>2464</v>
      </c>
      <c r="N851" s="2" t="s">
        <v>796</v>
      </c>
      <c r="O851" s="2" t="s">
        <v>182</v>
      </c>
      <c r="P851" s="2" t="str">
        <f t="shared" si="16"/>
        <v>2464-DE LICORES, CERVEZAS Y CIGARRILLOS-CUENTA</v>
      </c>
      <c r="Q851" t="s">
        <v>2695</v>
      </c>
    </row>
    <row r="852" spans="13:17" x14ac:dyDescent="0.25">
      <c r="M852" s="34">
        <v>246405</v>
      </c>
      <c r="N852" s="2" t="s">
        <v>797</v>
      </c>
      <c r="O852" s="2" t="s">
        <v>183</v>
      </c>
      <c r="P852" s="2" t="str">
        <f t="shared" si="16"/>
        <v>246405-DE LICORES-SUBCUENTA</v>
      </c>
      <c r="Q852" t="s">
        <v>2696</v>
      </c>
    </row>
    <row r="853" spans="13:17" x14ac:dyDescent="0.25">
      <c r="M853" s="34">
        <v>246410</v>
      </c>
      <c r="N853" s="2" t="s">
        <v>798</v>
      </c>
      <c r="O853" s="2" t="s">
        <v>183</v>
      </c>
      <c r="P853" s="2" t="str">
        <f t="shared" si="16"/>
        <v>246410-DE CERVEZAS-SUBCUENTA</v>
      </c>
      <c r="Q853" t="s">
        <v>2697</v>
      </c>
    </row>
    <row r="854" spans="13:17" x14ac:dyDescent="0.25">
      <c r="M854" s="34">
        <v>246415</v>
      </c>
      <c r="N854" s="2" t="s">
        <v>799</v>
      </c>
      <c r="O854" s="2" t="s">
        <v>183</v>
      </c>
      <c r="P854" s="2" t="str">
        <f t="shared" si="16"/>
        <v>246415-DE CIGARRILLOS-SUBCUENTA</v>
      </c>
      <c r="Q854" t="s">
        <v>2698</v>
      </c>
    </row>
    <row r="855" spans="13:17" x14ac:dyDescent="0.25">
      <c r="M855" s="34">
        <v>2468</v>
      </c>
      <c r="N855" s="2" t="s">
        <v>800</v>
      </c>
      <c r="O855" s="2" t="s">
        <v>182</v>
      </c>
      <c r="P855" s="2" t="str">
        <f t="shared" si="16"/>
        <v>2468-AL SACRIFICIO DE GANADO-CUENTA</v>
      </c>
      <c r="Q855" t="s">
        <v>1567</v>
      </c>
    </row>
    <row r="856" spans="13:17" x14ac:dyDescent="0.25">
      <c r="M856" s="34" t="s">
        <v>238</v>
      </c>
      <c r="N856" s="2" t="s">
        <v>188</v>
      </c>
      <c r="O856" s="2" t="s">
        <v>188</v>
      </c>
      <c r="P856" s="2" t="str">
        <f t="shared" si="16"/>
        <v xml:space="preserve">246801 a 246898 </v>
      </c>
      <c r="Q856" t="s">
        <v>1573</v>
      </c>
    </row>
    <row r="857" spans="13:17" x14ac:dyDescent="0.25">
      <c r="M857" s="34">
        <v>2472</v>
      </c>
      <c r="N857" s="2" t="s">
        <v>801</v>
      </c>
      <c r="O857" s="2" t="s">
        <v>182</v>
      </c>
      <c r="P857" s="2" t="str">
        <f t="shared" si="16"/>
        <v>2472-AL AZAR Y JUEGOS-CUENTA</v>
      </c>
      <c r="Q857" t="s">
        <v>1563</v>
      </c>
    </row>
    <row r="858" spans="13:17" x14ac:dyDescent="0.25">
      <c r="M858" s="34" t="s">
        <v>239</v>
      </c>
      <c r="N858" s="2" t="s">
        <v>188</v>
      </c>
      <c r="O858" s="2" t="s">
        <v>188</v>
      </c>
      <c r="P858" s="2" t="str">
        <f t="shared" si="16"/>
        <v xml:space="preserve">247201 a 247298 </v>
      </c>
      <c r="Q858" t="s">
        <v>2699</v>
      </c>
    </row>
    <row r="859" spans="13:17" x14ac:dyDescent="0.25">
      <c r="M859" s="34">
        <v>2476</v>
      </c>
      <c r="N859" s="2" t="s">
        <v>802</v>
      </c>
      <c r="O859" s="2" t="s">
        <v>182</v>
      </c>
      <c r="P859" s="2" t="str">
        <f t="shared" si="16"/>
        <v>2476-GRAVAMENES Y REGALIAS POR UTILIZACION DEL SUELO-CUENTA</v>
      </c>
      <c r="Q859" t="s">
        <v>2700</v>
      </c>
    </row>
    <row r="860" spans="13:17" x14ac:dyDescent="0.25">
      <c r="M860" s="34" t="s">
        <v>240</v>
      </c>
      <c r="N860" s="2" t="s">
        <v>188</v>
      </c>
      <c r="O860" s="2" t="s">
        <v>188</v>
      </c>
      <c r="P860" s="2" t="str">
        <f t="shared" si="16"/>
        <v xml:space="preserve">247601 a 247698 </v>
      </c>
      <c r="Q860" t="s">
        <v>2701</v>
      </c>
    </row>
    <row r="861" spans="13:17" x14ac:dyDescent="0.25">
      <c r="M861" s="34">
        <v>2495</v>
      </c>
      <c r="N861" s="2" t="s">
        <v>323</v>
      </c>
      <c r="O861" s="2" t="s">
        <v>182</v>
      </c>
      <c r="P861" s="2" t="str">
        <f t="shared" si="16"/>
        <v>2495-OTROS-CUENTA</v>
      </c>
      <c r="Q861" t="s">
        <v>2702</v>
      </c>
    </row>
    <row r="862" spans="13:17" x14ac:dyDescent="0.25">
      <c r="M862" s="34" t="s">
        <v>241</v>
      </c>
      <c r="N862" s="2" t="s">
        <v>188</v>
      </c>
      <c r="O862" s="2" t="s">
        <v>188</v>
      </c>
      <c r="P862" s="2" t="str">
        <f t="shared" si="16"/>
        <v xml:space="preserve">249501 a 249598 </v>
      </c>
      <c r="Q862" t="s">
        <v>2703</v>
      </c>
    </row>
    <row r="863" spans="13:17" x14ac:dyDescent="0.25">
      <c r="M863" s="34">
        <v>25</v>
      </c>
      <c r="N863" s="2" t="s">
        <v>803</v>
      </c>
      <c r="O863" s="2" t="s">
        <v>181</v>
      </c>
      <c r="P863" s="2" t="str">
        <f t="shared" si="16"/>
        <v>25-OBLIGACIONES LABORALES-GRUPO</v>
      </c>
      <c r="Q863" t="s">
        <v>2704</v>
      </c>
    </row>
    <row r="864" spans="13:17" x14ac:dyDescent="0.25">
      <c r="M864" s="34">
        <v>2505</v>
      </c>
      <c r="N864" s="2" t="s">
        <v>804</v>
      </c>
      <c r="O864" s="2" t="s">
        <v>182</v>
      </c>
      <c r="P864" s="2" t="str">
        <f t="shared" si="16"/>
        <v>2505-SALARIOS POR PAGAR-CUENTA</v>
      </c>
      <c r="Q864" t="s">
        <v>2705</v>
      </c>
    </row>
    <row r="865" spans="13:17" x14ac:dyDescent="0.25">
      <c r="M865" s="34" t="s">
        <v>242</v>
      </c>
      <c r="N865" s="2" t="s">
        <v>188</v>
      </c>
      <c r="O865" s="2" t="s">
        <v>188</v>
      </c>
      <c r="P865" s="2" t="str">
        <f t="shared" si="16"/>
        <v xml:space="preserve">250501 a 250598 </v>
      </c>
      <c r="Q865" t="s">
        <v>2706</v>
      </c>
    </row>
    <row r="866" spans="13:17" x14ac:dyDescent="0.25">
      <c r="M866" s="34">
        <v>2510</v>
      </c>
      <c r="N866" s="2" t="s">
        <v>805</v>
      </c>
      <c r="O866" s="2" t="s">
        <v>182</v>
      </c>
      <c r="P866" s="2" t="str">
        <f t="shared" si="16"/>
        <v>2510-CESANTIAS CONSOLIDADAS-CUENTA</v>
      </c>
      <c r="Q866" t="s">
        <v>2707</v>
      </c>
    </row>
    <row r="867" spans="13:17" x14ac:dyDescent="0.25">
      <c r="M867" s="34">
        <v>251005</v>
      </c>
      <c r="N867" s="2" t="s">
        <v>806</v>
      </c>
      <c r="O867" s="2" t="s">
        <v>183</v>
      </c>
      <c r="P867" s="2" t="str">
        <f t="shared" si="16"/>
        <v>251005-LEY LABORAL ANTERIOR-SUBCUENTA</v>
      </c>
      <c r="Q867" t="s">
        <v>2708</v>
      </c>
    </row>
    <row r="868" spans="13:17" x14ac:dyDescent="0.25">
      <c r="M868" s="34">
        <v>251010</v>
      </c>
      <c r="N868" s="2" t="s">
        <v>807</v>
      </c>
      <c r="O868" s="2" t="s">
        <v>183</v>
      </c>
      <c r="P868" s="2" t="str">
        <f t="shared" si="16"/>
        <v>251010-LEY 50 DE 1990 Y NORMAS POSTERIORES-SUBCUENTA</v>
      </c>
      <c r="Q868" t="s">
        <v>2709</v>
      </c>
    </row>
    <row r="869" spans="13:17" x14ac:dyDescent="0.25">
      <c r="M869" s="34">
        <v>2515</v>
      </c>
      <c r="N869" s="2" t="s">
        <v>808</v>
      </c>
      <c r="O869" s="2" t="s">
        <v>182</v>
      </c>
      <c r="P869" s="2" t="str">
        <f t="shared" si="16"/>
        <v>2515-INTERESES SOBRE CESANTIAS-CUENTA</v>
      </c>
      <c r="Q869" t="s">
        <v>2710</v>
      </c>
    </row>
    <row r="870" spans="13:17" x14ac:dyDescent="0.25">
      <c r="M870" s="34" t="s">
        <v>243</v>
      </c>
      <c r="N870" s="2" t="s">
        <v>188</v>
      </c>
      <c r="O870" s="2" t="s">
        <v>188</v>
      </c>
      <c r="P870" s="2" t="str">
        <f t="shared" si="16"/>
        <v xml:space="preserve">251501 a 251598 </v>
      </c>
      <c r="Q870" t="s">
        <v>2711</v>
      </c>
    </row>
    <row r="871" spans="13:17" x14ac:dyDescent="0.25">
      <c r="M871" s="34">
        <v>2520</v>
      </c>
      <c r="N871" s="2" t="s">
        <v>809</v>
      </c>
      <c r="O871" s="2" t="s">
        <v>182</v>
      </c>
      <c r="P871" s="2" t="str">
        <f t="shared" si="16"/>
        <v>2520-PRIMA DE SERVICIOS-CUENTA</v>
      </c>
      <c r="Q871" t="s">
        <v>2712</v>
      </c>
    </row>
    <row r="872" spans="13:17" x14ac:dyDescent="0.25">
      <c r="M872" s="34" t="s">
        <v>244</v>
      </c>
      <c r="N872" s="2" t="s">
        <v>188</v>
      </c>
      <c r="O872" s="2" t="s">
        <v>188</v>
      </c>
      <c r="P872" s="2" t="str">
        <f t="shared" si="16"/>
        <v xml:space="preserve">252001 a 252098 </v>
      </c>
      <c r="Q872" t="s">
        <v>2713</v>
      </c>
    </row>
    <row r="873" spans="13:17" x14ac:dyDescent="0.25">
      <c r="M873" s="34">
        <v>2525</v>
      </c>
      <c r="N873" s="2" t="s">
        <v>810</v>
      </c>
      <c r="O873" s="2" t="s">
        <v>182</v>
      </c>
      <c r="P873" s="2" t="str">
        <f t="shared" si="16"/>
        <v>2525-VACACIONES CONSOLIDADAS-CUENTA</v>
      </c>
      <c r="Q873" t="s">
        <v>2714</v>
      </c>
    </row>
    <row r="874" spans="13:17" x14ac:dyDescent="0.25">
      <c r="M874" s="34" t="s">
        <v>245</v>
      </c>
      <c r="N874" s="2" t="s">
        <v>188</v>
      </c>
      <c r="O874" s="2" t="s">
        <v>188</v>
      </c>
      <c r="P874" s="2" t="str">
        <f t="shared" si="16"/>
        <v xml:space="preserve">252501 a 252598 </v>
      </c>
      <c r="Q874" t="s">
        <v>2715</v>
      </c>
    </row>
    <row r="875" spans="13:17" x14ac:dyDescent="0.25">
      <c r="M875" s="34">
        <v>2530</v>
      </c>
      <c r="N875" s="2" t="s">
        <v>811</v>
      </c>
      <c r="O875" s="2" t="s">
        <v>182</v>
      </c>
      <c r="P875" s="2" t="str">
        <f t="shared" si="16"/>
        <v>2530-PRESTACIONES EXTRALEGALES-CUENTA</v>
      </c>
      <c r="Q875" t="s">
        <v>2716</v>
      </c>
    </row>
    <row r="876" spans="13:17" x14ac:dyDescent="0.25">
      <c r="M876" s="34">
        <v>253005</v>
      </c>
      <c r="N876" s="2" t="s">
        <v>812</v>
      </c>
      <c r="O876" s="2" t="s">
        <v>183</v>
      </c>
      <c r="P876" s="2" t="str">
        <f t="shared" si="16"/>
        <v>253005-PRIMAS-SUBCUENTA</v>
      </c>
      <c r="Q876" t="s">
        <v>2717</v>
      </c>
    </row>
    <row r="877" spans="13:17" x14ac:dyDescent="0.25">
      <c r="M877" s="34">
        <v>253010</v>
      </c>
      <c r="N877" s="2" t="s">
        <v>813</v>
      </c>
      <c r="O877" s="2" t="s">
        <v>183</v>
      </c>
      <c r="P877" s="2" t="str">
        <f t="shared" si="16"/>
        <v>253010-AUXILIOS-SUBCUENTA</v>
      </c>
      <c r="Q877" t="s">
        <v>2718</v>
      </c>
    </row>
    <row r="878" spans="13:17" x14ac:dyDescent="0.25">
      <c r="M878" s="34">
        <v>253015</v>
      </c>
      <c r="N878" s="2" t="s">
        <v>504</v>
      </c>
      <c r="O878" s="2" t="s">
        <v>183</v>
      </c>
      <c r="P878" s="2" t="str">
        <f t="shared" si="16"/>
        <v>253015-DOTACION Y SUMINISTRO A TRABAJADORES-SUBCUENTA</v>
      </c>
      <c r="Q878" t="s">
        <v>2719</v>
      </c>
    </row>
    <row r="879" spans="13:17" x14ac:dyDescent="0.25">
      <c r="M879" s="34">
        <v>253020</v>
      </c>
      <c r="N879" s="2" t="s">
        <v>814</v>
      </c>
      <c r="O879" s="2" t="s">
        <v>183</v>
      </c>
      <c r="P879" s="2" t="str">
        <f t="shared" si="16"/>
        <v>253020-BONIFICACIONES-SUBCUENTA</v>
      </c>
      <c r="Q879" t="s">
        <v>2720</v>
      </c>
    </row>
    <row r="880" spans="13:17" x14ac:dyDescent="0.25">
      <c r="M880" s="34">
        <v>253025</v>
      </c>
      <c r="N880" s="2" t="s">
        <v>737</v>
      </c>
      <c r="O880" s="2" t="s">
        <v>183</v>
      </c>
      <c r="P880" s="2" t="str">
        <f t="shared" si="16"/>
        <v>253025-SEGUROS-SUBCUENTA</v>
      </c>
      <c r="Q880" t="s">
        <v>2721</v>
      </c>
    </row>
    <row r="881" spans="13:17" x14ac:dyDescent="0.25">
      <c r="M881" s="34">
        <v>253095</v>
      </c>
      <c r="N881" s="2" t="s">
        <v>328</v>
      </c>
      <c r="O881" s="2" t="s">
        <v>183</v>
      </c>
      <c r="P881" s="2" t="str">
        <f t="shared" si="16"/>
        <v>253095-OTRAS-SUBCUENTA</v>
      </c>
      <c r="Q881" t="s">
        <v>2722</v>
      </c>
    </row>
    <row r="882" spans="13:17" x14ac:dyDescent="0.25">
      <c r="M882" s="34">
        <v>2532</v>
      </c>
      <c r="N882" s="2" t="s">
        <v>815</v>
      </c>
      <c r="O882" s="2" t="s">
        <v>182</v>
      </c>
      <c r="P882" s="2" t="str">
        <f t="shared" si="16"/>
        <v>2532-PENSIONES POR PAGAR-CUENTA</v>
      </c>
      <c r="Q882" t="s">
        <v>2723</v>
      </c>
    </row>
    <row r="883" spans="13:17" x14ac:dyDescent="0.25">
      <c r="M883" s="34" t="s">
        <v>246</v>
      </c>
      <c r="N883" s="2" t="s">
        <v>188</v>
      </c>
      <c r="O883" s="2" t="s">
        <v>188</v>
      </c>
      <c r="P883" s="2" t="str">
        <f t="shared" si="16"/>
        <v xml:space="preserve">253201 a 253298 </v>
      </c>
      <c r="Q883" t="s">
        <v>2724</v>
      </c>
    </row>
    <row r="884" spans="13:17" x14ac:dyDescent="0.25">
      <c r="M884" s="34">
        <v>2535</v>
      </c>
      <c r="N884" s="2" t="s">
        <v>816</v>
      </c>
      <c r="O884" s="2" t="s">
        <v>182</v>
      </c>
      <c r="P884" s="2" t="str">
        <f t="shared" si="16"/>
        <v>2535-CUOTAS PARTES PENSIONES DE JUBILACION-CUENTA</v>
      </c>
      <c r="Q884" t="s">
        <v>2725</v>
      </c>
    </row>
    <row r="885" spans="13:17" x14ac:dyDescent="0.25">
      <c r="M885" s="34" t="s">
        <v>247</v>
      </c>
      <c r="N885" s="2" t="s">
        <v>188</v>
      </c>
      <c r="O885" s="2" t="s">
        <v>188</v>
      </c>
      <c r="P885" s="2" t="str">
        <f t="shared" si="16"/>
        <v xml:space="preserve">253501 a 253598 </v>
      </c>
      <c r="Q885" t="s">
        <v>1558</v>
      </c>
    </row>
    <row r="886" spans="13:17" x14ac:dyDescent="0.25">
      <c r="M886" s="34">
        <v>2540</v>
      </c>
      <c r="N886" s="2" t="s">
        <v>817</v>
      </c>
      <c r="O886" s="2" t="s">
        <v>182</v>
      </c>
      <c r="P886" s="2" t="str">
        <f t="shared" si="16"/>
        <v>2540-INDEMNIZACIONES LABORALES-CUENTA</v>
      </c>
      <c r="Q886" t="s">
        <v>2726</v>
      </c>
    </row>
    <row r="887" spans="13:17" x14ac:dyDescent="0.25">
      <c r="M887" s="34" t="s">
        <v>248</v>
      </c>
      <c r="N887" s="2" t="s">
        <v>188</v>
      </c>
      <c r="O887" s="2" t="s">
        <v>188</v>
      </c>
      <c r="P887" s="2" t="str">
        <f t="shared" si="16"/>
        <v xml:space="preserve">254001 a 244098 </v>
      </c>
      <c r="Q887" t="s">
        <v>2727</v>
      </c>
    </row>
    <row r="888" spans="13:17" x14ac:dyDescent="0.25">
      <c r="M888" s="34">
        <v>26</v>
      </c>
      <c r="N888" s="2" t="s">
        <v>818</v>
      </c>
      <c r="O888" s="2" t="s">
        <v>181</v>
      </c>
      <c r="P888" s="2" t="str">
        <f t="shared" si="16"/>
        <v>26-PASIVOS ESTIMADOS Y PROVISIONES-GRUPO</v>
      </c>
      <c r="Q888" t="s">
        <v>2728</v>
      </c>
    </row>
    <row r="889" spans="13:17" x14ac:dyDescent="0.25">
      <c r="M889" s="34">
        <v>2605</v>
      </c>
      <c r="N889" s="2" t="s">
        <v>819</v>
      </c>
      <c r="O889" s="2" t="s">
        <v>182</v>
      </c>
      <c r="P889" s="2" t="str">
        <f t="shared" si="16"/>
        <v>2605-PARA COSTOS Y GASTOS-CUENTA</v>
      </c>
      <c r="Q889" t="s">
        <v>2729</v>
      </c>
    </row>
    <row r="890" spans="13:17" x14ac:dyDescent="0.25">
      <c r="M890" s="34">
        <v>260505</v>
      </c>
      <c r="N890" s="2" t="s">
        <v>431</v>
      </c>
      <c r="O890" s="2" t="s">
        <v>183</v>
      </c>
      <c r="P890" s="2" t="str">
        <f t="shared" si="16"/>
        <v>260505-INTERESES-SUBCUENTA</v>
      </c>
      <c r="Q890" t="s">
        <v>2730</v>
      </c>
    </row>
    <row r="891" spans="13:17" x14ac:dyDescent="0.25">
      <c r="M891" s="34">
        <v>260510</v>
      </c>
      <c r="N891" s="2" t="s">
        <v>432</v>
      </c>
      <c r="O891" s="2" t="s">
        <v>183</v>
      </c>
      <c r="P891" s="2" t="str">
        <f t="shared" si="16"/>
        <v>260510-COMISIONES-SUBCUENTA</v>
      </c>
      <c r="Q891" t="s">
        <v>2731</v>
      </c>
    </row>
    <row r="892" spans="13:17" x14ac:dyDescent="0.25">
      <c r="M892" s="34">
        <v>260515</v>
      </c>
      <c r="N892" s="2" t="s">
        <v>433</v>
      </c>
      <c r="O892" s="2" t="s">
        <v>183</v>
      </c>
      <c r="P892" s="2" t="str">
        <f t="shared" si="16"/>
        <v>260515-HONORARIOS-SUBCUENTA</v>
      </c>
      <c r="Q892" t="s">
        <v>2732</v>
      </c>
    </row>
    <row r="893" spans="13:17" x14ac:dyDescent="0.25">
      <c r="M893" s="34">
        <v>260520</v>
      </c>
      <c r="N893" s="2" t="s">
        <v>733</v>
      </c>
      <c r="O893" s="2" t="s">
        <v>183</v>
      </c>
      <c r="P893" s="2" t="str">
        <f t="shared" si="16"/>
        <v>260520-SERVICIOS TECNICOS-SUBCUENTA</v>
      </c>
      <c r="Q893" t="s">
        <v>2733</v>
      </c>
    </row>
    <row r="894" spans="13:17" x14ac:dyDescent="0.25">
      <c r="M894" s="34">
        <v>260525</v>
      </c>
      <c r="N894" s="2" t="s">
        <v>735</v>
      </c>
      <c r="O894" s="2" t="s">
        <v>183</v>
      </c>
      <c r="P894" s="2" t="str">
        <f t="shared" si="16"/>
        <v>260525-TRANSPORTES, FLETES Y ACARREOS-SUBCUENTA</v>
      </c>
      <c r="Q894" t="s">
        <v>2734</v>
      </c>
    </row>
    <row r="895" spans="13:17" x14ac:dyDescent="0.25">
      <c r="M895" s="34">
        <v>260530</v>
      </c>
      <c r="N895" s="2" t="s">
        <v>738</v>
      </c>
      <c r="O895" s="2" t="s">
        <v>183</v>
      </c>
      <c r="P895" s="2" t="str">
        <f t="shared" si="16"/>
        <v>260530-GASTOS DE VIAJE-SUBCUENTA</v>
      </c>
      <c r="Q895" t="s">
        <v>2735</v>
      </c>
    </row>
    <row r="896" spans="13:17" x14ac:dyDescent="0.25">
      <c r="M896" s="34">
        <v>260535</v>
      </c>
      <c r="N896" s="2" t="s">
        <v>736</v>
      </c>
      <c r="O896" s="2" t="s">
        <v>183</v>
      </c>
      <c r="P896" s="2" t="str">
        <f t="shared" si="16"/>
        <v>260535-SERVICIOS PUBLICOS-SUBCUENTA</v>
      </c>
      <c r="Q896" t="s">
        <v>2736</v>
      </c>
    </row>
    <row r="897" spans="13:17" x14ac:dyDescent="0.25">
      <c r="M897" s="34">
        <v>260540</v>
      </c>
      <c r="N897" s="2" t="s">
        <v>820</v>
      </c>
      <c r="O897" s="2" t="s">
        <v>183</v>
      </c>
      <c r="P897" s="2" t="str">
        <f t="shared" si="16"/>
        <v>260540-REGALIAS-SUBCUENTA</v>
      </c>
      <c r="Q897" t="s">
        <v>2737</v>
      </c>
    </row>
    <row r="898" spans="13:17" x14ac:dyDescent="0.25">
      <c r="M898" s="34">
        <v>260545</v>
      </c>
      <c r="N898" s="2" t="s">
        <v>821</v>
      </c>
      <c r="O898" s="2" t="s">
        <v>183</v>
      </c>
      <c r="P898" s="2" t="str">
        <f t="shared" si="16"/>
        <v>260545-GARANTIAS-SUBCUENTA</v>
      </c>
      <c r="Q898" t="s">
        <v>2738</v>
      </c>
    </row>
    <row r="899" spans="13:17" x14ac:dyDescent="0.25">
      <c r="M899" s="34">
        <v>260550</v>
      </c>
      <c r="N899" s="2" t="s">
        <v>498</v>
      </c>
      <c r="O899" s="2" t="s">
        <v>183</v>
      </c>
      <c r="P899" s="2" t="str">
        <f t="shared" si="16"/>
        <v>260550-MATERIALES Y REPUESTOS-SUBCUENTA</v>
      </c>
      <c r="Q899" t="s">
        <v>2739</v>
      </c>
    </row>
    <row r="900" spans="13:17" x14ac:dyDescent="0.25">
      <c r="M900" s="34">
        <v>260595</v>
      </c>
      <c r="N900" s="2" t="s">
        <v>323</v>
      </c>
      <c r="O900" s="2" t="s">
        <v>183</v>
      </c>
      <c r="P900" s="2" t="str">
        <f t="shared" ref="P900:P963" si="17">IF(AND(M900&lt;&gt;"",N900&lt;&gt;"",O900&lt;&gt;""),M900&amp;"-"&amp;N900&amp;"-"&amp;O900,IF(AND(M900="",N900&lt;&gt;"",O900&lt;&gt;""),N900&amp;"-"&amp;O900,IF(AND(M900&lt;&gt;"",N900="",O900&lt;&gt;""),M900&amp;"-"&amp;O900,IF(AND(M900&lt;&gt;"",N900&lt;&gt;"",O900=""),M900&amp;"-"&amp;N900,IF(AND(M900&lt;&gt;"",N900="",O900=""),M900,"")))))</f>
        <v>260595-OTROS-SUBCUENTA</v>
      </c>
      <c r="Q900" t="s">
        <v>2740</v>
      </c>
    </row>
    <row r="901" spans="13:17" x14ac:dyDescent="0.25">
      <c r="M901" s="34">
        <v>2610</v>
      </c>
      <c r="N901" s="2" t="s">
        <v>822</v>
      </c>
      <c r="O901" s="2" t="s">
        <v>182</v>
      </c>
      <c r="P901" s="2" t="str">
        <f t="shared" si="17"/>
        <v>2610-PARA OBLIGACIONES LABORALES-CUENTA</v>
      </c>
      <c r="Q901" t="s">
        <v>2741</v>
      </c>
    </row>
    <row r="902" spans="13:17" x14ac:dyDescent="0.25">
      <c r="M902" s="34">
        <v>261005</v>
      </c>
      <c r="N902" s="2" t="s">
        <v>823</v>
      </c>
      <c r="O902" s="2" t="s">
        <v>183</v>
      </c>
      <c r="P902" s="2" t="str">
        <f t="shared" si="17"/>
        <v>261005-CESANTIAS-SUBCUENTA</v>
      </c>
      <c r="Q902" t="s">
        <v>2742</v>
      </c>
    </row>
    <row r="903" spans="13:17" x14ac:dyDescent="0.25">
      <c r="M903" s="34">
        <v>261010</v>
      </c>
      <c r="N903" s="2" t="s">
        <v>808</v>
      </c>
      <c r="O903" s="2" t="s">
        <v>183</v>
      </c>
      <c r="P903" s="2" t="str">
        <f t="shared" si="17"/>
        <v>261010-INTERESES SOBRE CESANTIAS-SUBCUENTA</v>
      </c>
      <c r="Q903" t="s">
        <v>2743</v>
      </c>
    </row>
    <row r="904" spans="13:17" x14ac:dyDescent="0.25">
      <c r="M904" s="34">
        <v>261015</v>
      </c>
      <c r="N904" s="2" t="s">
        <v>824</v>
      </c>
      <c r="O904" s="2" t="s">
        <v>183</v>
      </c>
      <c r="P904" s="2" t="str">
        <f t="shared" si="17"/>
        <v>261015-VACACIONES-SUBCUENTA</v>
      </c>
      <c r="Q904" t="s">
        <v>2744</v>
      </c>
    </row>
    <row r="905" spans="13:17" x14ac:dyDescent="0.25">
      <c r="M905" s="34">
        <v>261020</v>
      </c>
      <c r="N905" s="2" t="s">
        <v>809</v>
      </c>
      <c r="O905" s="2" t="s">
        <v>183</v>
      </c>
      <c r="P905" s="2" t="str">
        <f t="shared" si="17"/>
        <v>261020-PRIMA DE SERVICIOS-SUBCUENTA</v>
      </c>
      <c r="Q905" t="s">
        <v>2745</v>
      </c>
    </row>
    <row r="906" spans="13:17" x14ac:dyDescent="0.25">
      <c r="M906" s="34">
        <v>261025</v>
      </c>
      <c r="N906" s="2" t="s">
        <v>811</v>
      </c>
      <c r="O906" s="2" t="s">
        <v>183</v>
      </c>
      <c r="P906" s="2" t="str">
        <f t="shared" si="17"/>
        <v>261025-PRESTACIONES EXTRALEGALES-SUBCUENTA</v>
      </c>
      <c r="Q906" t="s">
        <v>2746</v>
      </c>
    </row>
    <row r="907" spans="13:17" x14ac:dyDescent="0.25">
      <c r="M907" s="34">
        <v>261030</v>
      </c>
      <c r="N907" s="2" t="s">
        <v>825</v>
      </c>
      <c r="O907" s="2" t="s">
        <v>183</v>
      </c>
      <c r="P907" s="2" t="str">
        <f t="shared" si="17"/>
        <v>261030-VIATICOS-SUBCUENTA</v>
      </c>
      <c r="Q907" t="s">
        <v>2747</v>
      </c>
    </row>
    <row r="908" spans="13:17" x14ac:dyDescent="0.25">
      <c r="M908" s="34">
        <v>261095</v>
      </c>
      <c r="N908" s="2" t="s">
        <v>328</v>
      </c>
      <c r="O908" s="2" t="s">
        <v>183</v>
      </c>
      <c r="P908" s="2" t="str">
        <f t="shared" si="17"/>
        <v>261095-OTRAS-SUBCUENTA</v>
      </c>
      <c r="Q908" t="s">
        <v>2748</v>
      </c>
    </row>
    <row r="909" spans="13:17" x14ac:dyDescent="0.25">
      <c r="M909" s="34">
        <v>2615</v>
      </c>
      <c r="N909" s="2" t="s">
        <v>826</v>
      </c>
      <c r="O909" s="2" t="s">
        <v>182</v>
      </c>
      <c r="P909" s="2" t="str">
        <f t="shared" si="17"/>
        <v>2615-PARA OBLIGACIONES FISCALES-CUENTA</v>
      </c>
      <c r="Q909" t="s">
        <v>2749</v>
      </c>
    </row>
    <row r="910" spans="13:17" x14ac:dyDescent="0.25">
      <c r="M910" s="34">
        <v>261505</v>
      </c>
      <c r="N910" s="2" t="s">
        <v>777</v>
      </c>
      <c r="O910" s="2" t="s">
        <v>183</v>
      </c>
      <c r="P910" s="2" t="str">
        <f t="shared" si="17"/>
        <v>261505-DE RENTA Y COMPLEMENTARIOS-SUBCUENTA</v>
      </c>
      <c r="Q910" t="s">
        <v>2750</v>
      </c>
    </row>
    <row r="911" spans="13:17" x14ac:dyDescent="0.25">
      <c r="M911" s="34">
        <v>261510</v>
      </c>
      <c r="N911" s="2" t="s">
        <v>781</v>
      </c>
      <c r="O911" s="2" t="s">
        <v>183</v>
      </c>
      <c r="P911" s="2" t="str">
        <f t="shared" si="17"/>
        <v>261510-DE INDUSTRIA Y COMERCIO-SUBCUENTA</v>
      </c>
      <c r="Q911" t="s">
        <v>2751</v>
      </c>
    </row>
    <row r="912" spans="13:17" x14ac:dyDescent="0.25">
      <c r="M912" s="34">
        <v>261515</v>
      </c>
      <c r="N912" s="2" t="s">
        <v>786</v>
      </c>
      <c r="O912" s="2" t="s">
        <v>183</v>
      </c>
      <c r="P912" s="2" t="str">
        <f t="shared" si="17"/>
        <v>261515-TASA POR UTILIZACION DE PUERTOS-SUBCUENTA</v>
      </c>
      <c r="Q912" t="s">
        <v>2752</v>
      </c>
    </row>
    <row r="913" spans="13:17" x14ac:dyDescent="0.25">
      <c r="M913" s="34">
        <v>261520</v>
      </c>
      <c r="N913" s="2" t="s">
        <v>787</v>
      </c>
      <c r="O913" s="2" t="s">
        <v>183</v>
      </c>
      <c r="P913" s="2" t="str">
        <f t="shared" si="17"/>
        <v>261520-DE VEHICULOS-SUBCUENTA</v>
      </c>
      <c r="Q913" t="s">
        <v>2753</v>
      </c>
    </row>
    <row r="914" spans="13:17" x14ac:dyDescent="0.25">
      <c r="M914" s="34">
        <v>261525</v>
      </c>
      <c r="N914" s="2" t="s">
        <v>789</v>
      </c>
      <c r="O914" s="2" t="s">
        <v>183</v>
      </c>
      <c r="P914" s="2" t="str">
        <f t="shared" si="17"/>
        <v>261525-DE HIDROCARBUROS Y MINAS-SUBCUENTA</v>
      </c>
      <c r="Q914" t="s">
        <v>2754</v>
      </c>
    </row>
    <row r="915" spans="13:17" x14ac:dyDescent="0.25">
      <c r="M915" s="34">
        <v>261595</v>
      </c>
      <c r="N915" s="2" t="s">
        <v>323</v>
      </c>
      <c r="O915" s="2" t="s">
        <v>183</v>
      </c>
      <c r="P915" s="2" t="str">
        <f t="shared" si="17"/>
        <v>261595-OTROS-SUBCUENTA</v>
      </c>
      <c r="Q915" t="s">
        <v>2755</v>
      </c>
    </row>
    <row r="916" spans="13:17" x14ac:dyDescent="0.25">
      <c r="M916" s="34">
        <v>2620</v>
      </c>
      <c r="N916" s="2" t="s">
        <v>827</v>
      </c>
      <c r="O916" s="2" t="s">
        <v>182</v>
      </c>
      <c r="P916" s="2" t="str">
        <f t="shared" si="17"/>
        <v>2620-PENSIONES DE JUBILACION-CUENTA</v>
      </c>
      <c r="Q916" t="s">
        <v>2756</v>
      </c>
    </row>
    <row r="917" spans="13:17" x14ac:dyDescent="0.25">
      <c r="M917" s="34">
        <v>262005</v>
      </c>
      <c r="N917" s="2" t="s">
        <v>828</v>
      </c>
      <c r="O917" s="2" t="s">
        <v>183</v>
      </c>
      <c r="P917" s="2" t="str">
        <f t="shared" si="17"/>
        <v>262005-CALCULO ACTUARIAL PENSIONES DE JUBILACION-SUBCUENTA</v>
      </c>
      <c r="Q917" t="s">
        <v>2757</v>
      </c>
    </row>
    <row r="918" spans="13:17" x14ac:dyDescent="0.25">
      <c r="M918" s="34">
        <v>262010</v>
      </c>
      <c r="N918" s="2" t="s">
        <v>829</v>
      </c>
      <c r="O918" s="2" t="s">
        <v>183</v>
      </c>
      <c r="P918" s="2" t="str">
        <f t="shared" si="17"/>
        <v>262010-PENSIONES DE JUBILACION POR AMORTIZAR (DB)-SUBCUENTA</v>
      </c>
      <c r="Q918" t="s">
        <v>2758</v>
      </c>
    </row>
    <row r="919" spans="13:17" x14ac:dyDescent="0.25">
      <c r="M919" s="34">
        <v>2625</v>
      </c>
      <c r="N919" s="2" t="s">
        <v>830</v>
      </c>
      <c r="O919" s="2" t="s">
        <v>182</v>
      </c>
      <c r="P919" s="2" t="str">
        <f t="shared" si="17"/>
        <v>2625-PARA OBRAS DE URBANISMO-CUENTA</v>
      </c>
      <c r="Q919" t="s">
        <v>2759</v>
      </c>
    </row>
    <row r="920" spans="13:17" x14ac:dyDescent="0.25">
      <c r="M920" s="34">
        <v>262505</v>
      </c>
      <c r="N920" s="2" t="s">
        <v>831</v>
      </c>
      <c r="O920" s="2" t="s">
        <v>183</v>
      </c>
      <c r="P920" s="2" t="str">
        <f t="shared" si="17"/>
        <v>262505-ACUEDUCTO Y ALCANTARILLADO-SUBCUENTA</v>
      </c>
      <c r="Q920" t="s">
        <v>2760</v>
      </c>
    </row>
    <row r="921" spans="13:17" x14ac:dyDescent="0.25">
      <c r="M921" s="34">
        <v>262510</v>
      </c>
      <c r="N921" s="2" t="s">
        <v>832</v>
      </c>
      <c r="O921" s="2" t="s">
        <v>183</v>
      </c>
      <c r="P921" s="2" t="str">
        <f t="shared" si="17"/>
        <v>262510-ENERGIA ELECTRICA-SUBCUENTA</v>
      </c>
      <c r="Q921" t="s">
        <v>2761</v>
      </c>
    </row>
    <row r="922" spans="13:17" x14ac:dyDescent="0.25">
      <c r="M922" s="34">
        <v>262515</v>
      </c>
      <c r="N922" s="2" t="s">
        <v>833</v>
      </c>
      <c r="O922" s="2" t="s">
        <v>183</v>
      </c>
      <c r="P922" s="2" t="str">
        <f t="shared" si="17"/>
        <v>262515-TELEFONOS-SUBCUENTA</v>
      </c>
      <c r="Q922" t="s">
        <v>2762</v>
      </c>
    </row>
    <row r="923" spans="13:17" x14ac:dyDescent="0.25">
      <c r="M923" s="34">
        <v>262595</v>
      </c>
      <c r="N923" s="2" t="s">
        <v>323</v>
      </c>
      <c r="O923" s="2" t="s">
        <v>183</v>
      </c>
      <c r="P923" s="2" t="str">
        <f t="shared" si="17"/>
        <v>262595-OTROS-SUBCUENTA</v>
      </c>
      <c r="Q923" t="s">
        <v>2763</v>
      </c>
    </row>
    <row r="924" spans="13:17" x14ac:dyDescent="0.25">
      <c r="M924" s="34">
        <v>2630</v>
      </c>
      <c r="N924" s="2" t="s">
        <v>834</v>
      </c>
      <c r="O924" s="2" t="s">
        <v>182</v>
      </c>
      <c r="P924" s="2" t="str">
        <f t="shared" si="17"/>
        <v>2630-PARA MANTENIMIENTO Y REPARACIONES-CUENTA</v>
      </c>
      <c r="Q924" t="s">
        <v>2764</v>
      </c>
    </row>
    <row r="925" spans="13:17" x14ac:dyDescent="0.25">
      <c r="M925" s="34">
        <v>263005</v>
      </c>
      <c r="N925" s="2" t="s">
        <v>490</v>
      </c>
      <c r="O925" s="2" t="s">
        <v>183</v>
      </c>
      <c r="P925" s="2" t="str">
        <f t="shared" si="17"/>
        <v>263005-TERRENOS-SUBCUENTA</v>
      </c>
      <c r="Q925" t="s">
        <v>2765</v>
      </c>
    </row>
    <row r="926" spans="13:17" x14ac:dyDescent="0.25">
      <c r="M926" s="34">
        <v>263010</v>
      </c>
      <c r="N926" s="2" t="s">
        <v>520</v>
      </c>
      <c r="O926" s="2" t="s">
        <v>183</v>
      </c>
      <c r="P926" s="2" t="str">
        <f t="shared" si="17"/>
        <v>263010-CONSTRUCCIONES Y EDIFICACIONES-SUBCUENTA</v>
      </c>
      <c r="Q926" t="s">
        <v>2766</v>
      </c>
    </row>
    <row r="927" spans="13:17" x14ac:dyDescent="0.25">
      <c r="M927" s="34">
        <v>263015</v>
      </c>
      <c r="N927" s="2" t="s">
        <v>527</v>
      </c>
      <c r="O927" s="2" t="s">
        <v>183</v>
      </c>
      <c r="P927" s="2" t="str">
        <f t="shared" si="17"/>
        <v>263015-MAQUINARIA Y EQUIPO-SUBCUENTA</v>
      </c>
      <c r="Q927" t="s">
        <v>2767</v>
      </c>
    </row>
    <row r="928" spans="13:17" x14ac:dyDescent="0.25">
      <c r="M928" s="34">
        <v>263020</v>
      </c>
      <c r="N928" s="2" t="s">
        <v>528</v>
      </c>
      <c r="O928" s="2" t="s">
        <v>183</v>
      </c>
      <c r="P928" s="2" t="str">
        <f t="shared" si="17"/>
        <v>263020-EQUIPO DE OFICINA-SUBCUENTA</v>
      </c>
      <c r="Q928" t="s">
        <v>2768</v>
      </c>
    </row>
    <row r="929" spans="13:17" x14ac:dyDescent="0.25">
      <c r="M929" s="34">
        <v>263025</v>
      </c>
      <c r="N929" s="2" t="s">
        <v>529</v>
      </c>
      <c r="O929" s="2" t="s">
        <v>183</v>
      </c>
      <c r="P929" s="2" t="str">
        <f t="shared" si="17"/>
        <v>263025-EQUIPO DE COMPUTACION Y COMUNICACION-SUBCUENTA</v>
      </c>
      <c r="Q929" t="s">
        <v>1557</v>
      </c>
    </row>
    <row r="930" spans="13:17" x14ac:dyDescent="0.25">
      <c r="M930" s="34">
        <v>263030</v>
      </c>
      <c r="N930" s="2" t="s">
        <v>561</v>
      </c>
      <c r="O930" s="2" t="s">
        <v>183</v>
      </c>
      <c r="P930" s="2" t="str">
        <f t="shared" si="17"/>
        <v>263030-EQUIPO MEDICO - CIENTIFICO-SUBCUENTA</v>
      </c>
      <c r="Q930" t="s">
        <v>2769</v>
      </c>
    </row>
    <row r="931" spans="13:17" x14ac:dyDescent="0.25">
      <c r="M931" s="34">
        <v>263035</v>
      </c>
      <c r="N931" s="2" t="s">
        <v>531</v>
      </c>
      <c r="O931" s="2" t="s">
        <v>183</v>
      </c>
      <c r="P931" s="2" t="str">
        <f t="shared" si="17"/>
        <v>263035-EQUIPO DE HOTELES Y RESTAURANTES-SUBCUENTA</v>
      </c>
      <c r="Q931" t="s">
        <v>2770</v>
      </c>
    </row>
    <row r="932" spans="13:17" x14ac:dyDescent="0.25">
      <c r="M932" s="34">
        <v>263040</v>
      </c>
      <c r="N932" s="2" t="s">
        <v>532</v>
      </c>
      <c r="O932" s="2" t="s">
        <v>183</v>
      </c>
      <c r="P932" s="2" t="str">
        <f t="shared" si="17"/>
        <v>263040-FLOTA Y EQUIPO DE TRANSPORTE-SUBCUENTA</v>
      </c>
      <c r="Q932" t="s">
        <v>2771</v>
      </c>
    </row>
    <row r="933" spans="13:17" x14ac:dyDescent="0.25">
      <c r="M933" s="34">
        <v>263045</v>
      </c>
      <c r="N933" s="2" t="s">
        <v>533</v>
      </c>
      <c r="O933" s="2" t="s">
        <v>183</v>
      </c>
      <c r="P933" s="2" t="str">
        <f t="shared" si="17"/>
        <v>263045-FLOTA Y EQUIPO FLUVIAL Y/O MARITIMO-SUBCUENTA</v>
      </c>
      <c r="Q933" t="s">
        <v>2772</v>
      </c>
    </row>
    <row r="934" spans="13:17" x14ac:dyDescent="0.25">
      <c r="M934" s="34">
        <v>263050</v>
      </c>
      <c r="N934" s="2" t="s">
        <v>534</v>
      </c>
      <c r="O934" s="2" t="s">
        <v>183</v>
      </c>
      <c r="P934" s="2" t="str">
        <f t="shared" si="17"/>
        <v>263050-FLOTA Y EQUIPO AEREO-SUBCUENTA</v>
      </c>
      <c r="Q934" t="s">
        <v>2773</v>
      </c>
    </row>
    <row r="935" spans="13:17" x14ac:dyDescent="0.25">
      <c r="M935" s="34">
        <v>263055</v>
      </c>
      <c r="N935" s="2" t="s">
        <v>535</v>
      </c>
      <c r="O935" s="2" t="s">
        <v>183</v>
      </c>
      <c r="P935" s="2" t="str">
        <f t="shared" si="17"/>
        <v>263055-FLOTA Y EQUIPO FERREO-SUBCUENTA</v>
      </c>
      <c r="Q935" t="s">
        <v>2774</v>
      </c>
    </row>
    <row r="936" spans="13:17" x14ac:dyDescent="0.25">
      <c r="M936" s="34">
        <v>263060</v>
      </c>
      <c r="N936" s="2" t="s">
        <v>521</v>
      </c>
      <c r="O936" s="2" t="s">
        <v>183</v>
      </c>
      <c r="P936" s="2" t="str">
        <f t="shared" si="17"/>
        <v>263060-ACUEDUCTOS PLANTAS Y REDES-SUBCUENTA</v>
      </c>
      <c r="Q936" t="s">
        <v>2775</v>
      </c>
    </row>
    <row r="937" spans="13:17" x14ac:dyDescent="0.25">
      <c r="M937" s="34">
        <v>263065</v>
      </c>
      <c r="N937" s="2" t="s">
        <v>616</v>
      </c>
      <c r="O937" s="2" t="s">
        <v>183</v>
      </c>
      <c r="P937" s="2" t="str">
        <f t="shared" si="17"/>
        <v>263065-ARMAMENTO DE VIGILANCIA-SUBCUENTA</v>
      </c>
      <c r="Q937" t="s">
        <v>2776</v>
      </c>
    </row>
    <row r="938" spans="13:17" x14ac:dyDescent="0.25">
      <c r="M938" s="34">
        <v>263070</v>
      </c>
      <c r="N938" s="2" t="s">
        <v>506</v>
      </c>
      <c r="O938" s="2" t="s">
        <v>183</v>
      </c>
      <c r="P938" s="2" t="str">
        <f t="shared" si="17"/>
        <v>263070-ENVASES Y EMPAQUES-SUBCUENTA</v>
      </c>
      <c r="Q938" t="s">
        <v>2777</v>
      </c>
    </row>
    <row r="939" spans="13:17" x14ac:dyDescent="0.25">
      <c r="M939" s="34">
        <v>263075</v>
      </c>
      <c r="N939" s="2" t="s">
        <v>617</v>
      </c>
      <c r="O939" s="2" t="s">
        <v>183</v>
      </c>
      <c r="P939" s="2" t="str">
        <f t="shared" si="17"/>
        <v>263075-PLANTACIONES AGRICOLAS Y FORESTALES-SUBCUENTA</v>
      </c>
      <c r="Q939" t="s">
        <v>2778</v>
      </c>
    </row>
    <row r="940" spans="13:17" x14ac:dyDescent="0.25">
      <c r="M940" s="34">
        <v>263080</v>
      </c>
      <c r="N940" s="2" t="s">
        <v>835</v>
      </c>
      <c r="O940" s="2" t="s">
        <v>183</v>
      </c>
      <c r="P940" s="2" t="str">
        <f t="shared" si="17"/>
        <v>263080-VIAS DE CUMUNICACION-SUBCUENTA</v>
      </c>
      <c r="Q940" t="s">
        <v>2779</v>
      </c>
    </row>
    <row r="941" spans="13:17" x14ac:dyDescent="0.25">
      <c r="M941" s="34">
        <v>263085</v>
      </c>
      <c r="N941" s="2" t="s">
        <v>523</v>
      </c>
      <c r="O941" s="2" t="s">
        <v>183</v>
      </c>
      <c r="P941" s="2" t="str">
        <f t="shared" si="17"/>
        <v>263085-POZOS ARTESIANOS-SUBCUENTA</v>
      </c>
      <c r="Q941" t="s">
        <v>2780</v>
      </c>
    </row>
    <row r="942" spans="13:17" x14ac:dyDescent="0.25">
      <c r="M942" s="34">
        <v>263095</v>
      </c>
      <c r="N942" s="2" t="s">
        <v>323</v>
      </c>
      <c r="O942" s="2" t="s">
        <v>183</v>
      </c>
      <c r="P942" s="2" t="str">
        <f t="shared" si="17"/>
        <v>263095-OTROS-SUBCUENTA</v>
      </c>
      <c r="Q942" t="s">
        <v>2781</v>
      </c>
    </row>
    <row r="943" spans="13:17" x14ac:dyDescent="0.25">
      <c r="M943" s="34">
        <v>2635</v>
      </c>
      <c r="N943" s="2" t="s">
        <v>836</v>
      </c>
      <c r="O943" s="2" t="s">
        <v>182</v>
      </c>
      <c r="P943" s="2" t="str">
        <f t="shared" si="17"/>
        <v>2635-PARA CONTINGENCIAS-CUENTA</v>
      </c>
      <c r="Q943" t="s">
        <v>2782</v>
      </c>
    </row>
    <row r="944" spans="13:17" x14ac:dyDescent="0.25">
      <c r="M944" s="34">
        <v>263505</v>
      </c>
      <c r="N944" s="2" t="s">
        <v>837</v>
      </c>
      <c r="O944" s="2" t="s">
        <v>183</v>
      </c>
      <c r="P944" s="2" t="str">
        <f t="shared" si="17"/>
        <v>263505-MULTAS Y SANCIONES AUTORIDADES ADMINISTRATIVAS-SUBCUENTA</v>
      </c>
      <c r="Q944" t="s">
        <v>2783</v>
      </c>
    </row>
    <row r="945" spans="13:17" x14ac:dyDescent="0.25">
      <c r="M945" s="34">
        <v>263510</v>
      </c>
      <c r="N945" s="2" t="s">
        <v>838</v>
      </c>
      <c r="O945" s="2" t="s">
        <v>183</v>
      </c>
      <c r="P945" s="2" t="str">
        <f t="shared" si="17"/>
        <v>263510-INTERESES POR MULTAS Y SANCIONES-SUBCUENTA</v>
      </c>
      <c r="Q945" t="s">
        <v>2784</v>
      </c>
    </row>
    <row r="946" spans="13:17" x14ac:dyDescent="0.25">
      <c r="M946" s="34">
        <v>263515</v>
      </c>
      <c r="N946" s="2" t="s">
        <v>839</v>
      </c>
      <c r="O946" s="2" t="s">
        <v>183</v>
      </c>
      <c r="P946" s="2" t="str">
        <f t="shared" si="17"/>
        <v>263515-RECLAMOS-SUBCUENTA</v>
      </c>
      <c r="Q946" t="s">
        <v>2785</v>
      </c>
    </row>
    <row r="947" spans="13:17" x14ac:dyDescent="0.25">
      <c r="M947" s="34">
        <v>263520</v>
      </c>
      <c r="N947" s="2" t="s">
        <v>840</v>
      </c>
      <c r="O947" s="2" t="s">
        <v>183</v>
      </c>
      <c r="P947" s="2" t="str">
        <f t="shared" si="17"/>
        <v>263520-LABORALES-SUBCUENTA</v>
      </c>
      <c r="Q947" t="s">
        <v>2786</v>
      </c>
    </row>
    <row r="948" spans="13:17" x14ac:dyDescent="0.25">
      <c r="M948" s="34">
        <v>263525</v>
      </c>
      <c r="N948" s="2" t="s">
        <v>841</v>
      </c>
      <c r="O948" s="2" t="s">
        <v>183</v>
      </c>
      <c r="P948" s="2" t="str">
        <f t="shared" si="17"/>
        <v>263525-CIVILES-SUBCUENTA</v>
      </c>
      <c r="Q948" t="s">
        <v>2787</v>
      </c>
    </row>
    <row r="949" spans="13:17" x14ac:dyDescent="0.25">
      <c r="M949" s="34">
        <v>263530</v>
      </c>
      <c r="N949" s="2" t="s">
        <v>842</v>
      </c>
      <c r="O949" s="2" t="s">
        <v>183</v>
      </c>
      <c r="P949" s="2" t="str">
        <f t="shared" si="17"/>
        <v>263530-PENALES-SUBCUENTA</v>
      </c>
      <c r="Q949" t="s">
        <v>2788</v>
      </c>
    </row>
    <row r="950" spans="13:17" x14ac:dyDescent="0.25">
      <c r="M950" s="34">
        <v>263535</v>
      </c>
      <c r="N950" s="2" t="s">
        <v>843</v>
      </c>
      <c r="O950" s="2" t="s">
        <v>183</v>
      </c>
      <c r="P950" s="2" t="str">
        <f t="shared" si="17"/>
        <v>263535-ADMINISTRATIVOS-SUBCUENTA</v>
      </c>
      <c r="Q950" t="s">
        <v>2789</v>
      </c>
    </row>
    <row r="951" spans="13:17" x14ac:dyDescent="0.25">
      <c r="M951" s="34">
        <v>263540</v>
      </c>
      <c r="N951" s="2" t="s">
        <v>844</v>
      </c>
      <c r="O951" s="2" t="s">
        <v>183</v>
      </c>
      <c r="P951" s="2" t="str">
        <f t="shared" si="17"/>
        <v>263540-COMERCIALES-SUBCUENTA</v>
      </c>
      <c r="Q951" t="s">
        <v>2790</v>
      </c>
    </row>
    <row r="952" spans="13:17" x14ac:dyDescent="0.25">
      <c r="M952" s="34">
        <v>263595</v>
      </c>
      <c r="N952" s="2" t="s">
        <v>328</v>
      </c>
      <c r="O952" s="2" t="s">
        <v>183</v>
      </c>
      <c r="P952" s="2" t="str">
        <f t="shared" si="17"/>
        <v>263595-OTRAS-SUBCUENTA</v>
      </c>
      <c r="Q952" t="s">
        <v>2791</v>
      </c>
    </row>
    <row r="953" spans="13:17" x14ac:dyDescent="0.25">
      <c r="M953" s="34">
        <v>2640</v>
      </c>
      <c r="N953" s="2" t="s">
        <v>845</v>
      </c>
      <c r="O953" s="2" t="s">
        <v>182</v>
      </c>
      <c r="P953" s="2" t="str">
        <f t="shared" si="17"/>
        <v>2640-PARA OBLIGACIONES DE GARANTIAS-CUENTA</v>
      </c>
      <c r="Q953" t="s">
        <v>2792</v>
      </c>
    </row>
    <row r="954" spans="13:17" x14ac:dyDescent="0.25">
      <c r="M954" s="34" t="s">
        <v>249</v>
      </c>
      <c r="N954" s="2" t="s">
        <v>188</v>
      </c>
      <c r="O954" s="2" t="s">
        <v>188</v>
      </c>
      <c r="P954" s="2" t="str">
        <f t="shared" si="17"/>
        <v xml:space="preserve">264001 a 264098 </v>
      </c>
      <c r="Q954" t="s">
        <v>2793</v>
      </c>
    </row>
    <row r="955" spans="13:17" x14ac:dyDescent="0.25">
      <c r="M955" s="34">
        <v>2695</v>
      </c>
      <c r="N955" s="2" t="s">
        <v>846</v>
      </c>
      <c r="O955" s="2" t="s">
        <v>182</v>
      </c>
      <c r="P955" s="2" t="str">
        <f t="shared" si="17"/>
        <v>2695-PROVISIONES DIVERSAS-CUENTA</v>
      </c>
      <c r="Q955" t="s">
        <v>2794</v>
      </c>
    </row>
    <row r="956" spans="13:17" x14ac:dyDescent="0.25">
      <c r="M956" s="34">
        <v>269505</v>
      </c>
      <c r="N956" s="2" t="s">
        <v>847</v>
      </c>
      <c r="O956" s="2" t="s">
        <v>183</v>
      </c>
      <c r="P956" s="2" t="str">
        <f t="shared" si="17"/>
        <v>269505-PARA BENEFICENCIA-SUBCUENTA</v>
      </c>
      <c r="Q956" t="s">
        <v>2795</v>
      </c>
    </row>
    <row r="957" spans="13:17" x14ac:dyDescent="0.25">
      <c r="M957" s="34">
        <v>269510</v>
      </c>
      <c r="N957" s="2" t="s">
        <v>848</v>
      </c>
      <c r="O957" s="2" t="s">
        <v>183</v>
      </c>
      <c r="P957" s="2" t="str">
        <f t="shared" si="17"/>
        <v>269510-PARA COMUNICACIONES-SUBCUENTA</v>
      </c>
      <c r="Q957" t="s">
        <v>2796</v>
      </c>
    </row>
    <row r="958" spans="13:17" x14ac:dyDescent="0.25">
      <c r="M958" s="34">
        <v>269515</v>
      </c>
      <c r="N958" s="2" t="s">
        <v>849</v>
      </c>
      <c r="O958" s="2" t="s">
        <v>183</v>
      </c>
      <c r="P958" s="2" t="str">
        <f t="shared" si="17"/>
        <v>269515-PARA PERDIDA EN TRANSPORTE-SUBCUENTA</v>
      </c>
      <c r="Q958" t="s">
        <v>2797</v>
      </c>
    </row>
    <row r="959" spans="13:17" x14ac:dyDescent="0.25">
      <c r="M959" s="34">
        <v>269520</v>
      </c>
      <c r="N959" s="2" t="s">
        <v>850</v>
      </c>
      <c r="O959" s="2" t="s">
        <v>183</v>
      </c>
      <c r="P959" s="2" t="str">
        <f t="shared" si="17"/>
        <v>269520-PARA OPERACION-SUBCUENTA</v>
      </c>
      <c r="Q959" t="s">
        <v>2798</v>
      </c>
    </row>
    <row r="960" spans="13:17" x14ac:dyDescent="0.25">
      <c r="M960" s="34">
        <v>269525</v>
      </c>
      <c r="N960" s="2" t="s">
        <v>851</v>
      </c>
      <c r="O960" s="2" t="s">
        <v>183</v>
      </c>
      <c r="P960" s="2" t="str">
        <f t="shared" si="17"/>
        <v>269525-PARA PROTECCION DE BIENES AGOTABLES-SUBCUENTA</v>
      </c>
      <c r="Q960" t="s">
        <v>2799</v>
      </c>
    </row>
    <row r="961" spans="13:17" x14ac:dyDescent="0.25">
      <c r="M961" s="34">
        <v>269530</v>
      </c>
      <c r="N961" s="2" t="s">
        <v>852</v>
      </c>
      <c r="O961" s="2" t="s">
        <v>183</v>
      </c>
      <c r="P961" s="2" t="str">
        <f t="shared" si="17"/>
        <v>269530-PARA AJUSTES EN REDENCION DE UNIDADES-SUBCUENTA</v>
      </c>
      <c r="Q961" t="s">
        <v>2800</v>
      </c>
    </row>
    <row r="962" spans="13:17" x14ac:dyDescent="0.25">
      <c r="M962" s="34">
        <v>269535</v>
      </c>
      <c r="N962" s="2" t="s">
        <v>853</v>
      </c>
      <c r="O962" s="2" t="s">
        <v>183</v>
      </c>
      <c r="P962" s="2" t="str">
        <f t="shared" si="17"/>
        <v>269535-AUTOSEGURO-SUBCUENTA</v>
      </c>
      <c r="Q962" t="s">
        <v>2801</v>
      </c>
    </row>
    <row r="963" spans="13:17" x14ac:dyDescent="0.25">
      <c r="M963" s="34">
        <v>269540</v>
      </c>
      <c r="N963" s="2" t="s">
        <v>854</v>
      </c>
      <c r="O963" s="2" t="s">
        <v>183</v>
      </c>
      <c r="P963" s="2" t="str">
        <f t="shared" si="17"/>
        <v>269540-PLANES Y PROGRAMAS DE REFORESTACION Y ELECTRIFICACION-SUBCUENTA</v>
      </c>
      <c r="Q963" t="s">
        <v>2802</v>
      </c>
    </row>
    <row r="964" spans="13:17" x14ac:dyDescent="0.25">
      <c r="M964" s="34">
        <v>269595</v>
      </c>
      <c r="N964" s="2" t="s">
        <v>328</v>
      </c>
      <c r="O964" s="2" t="s">
        <v>183</v>
      </c>
      <c r="P964" s="2" t="str">
        <f t="shared" ref="P964:P1027" si="18">IF(AND(M964&lt;&gt;"",N964&lt;&gt;"",O964&lt;&gt;""),M964&amp;"-"&amp;N964&amp;"-"&amp;O964,IF(AND(M964="",N964&lt;&gt;"",O964&lt;&gt;""),N964&amp;"-"&amp;O964,IF(AND(M964&lt;&gt;"",N964="",O964&lt;&gt;""),M964&amp;"-"&amp;O964,IF(AND(M964&lt;&gt;"",N964&lt;&gt;"",O964=""),M964&amp;"-"&amp;N964,IF(AND(M964&lt;&gt;"",N964="",O964=""),M964,"")))))</f>
        <v>269595-OTRAS-SUBCUENTA</v>
      </c>
      <c r="Q964" t="s">
        <v>2803</v>
      </c>
    </row>
    <row r="965" spans="13:17" x14ac:dyDescent="0.25">
      <c r="M965" s="34">
        <v>27</v>
      </c>
      <c r="N965" s="2" t="s">
        <v>657</v>
      </c>
      <c r="O965" s="2" t="s">
        <v>181</v>
      </c>
      <c r="P965" s="2" t="str">
        <f t="shared" si="18"/>
        <v>27-DIFERIDOS-GRUPO</v>
      </c>
      <c r="Q965" t="s">
        <v>2804</v>
      </c>
    </row>
    <row r="966" spans="13:17" x14ac:dyDescent="0.25">
      <c r="M966" s="34">
        <v>2705</v>
      </c>
      <c r="N966" s="2" t="s">
        <v>855</v>
      </c>
      <c r="O966" s="2" t="s">
        <v>182</v>
      </c>
      <c r="P966" s="2" t="str">
        <f t="shared" si="18"/>
        <v>2705-INGRESOS RECIBIDOS POR ANTICIPADO-CUENTA</v>
      </c>
      <c r="Q966" t="s">
        <v>2805</v>
      </c>
    </row>
    <row r="967" spans="13:17" x14ac:dyDescent="0.25">
      <c r="M967" s="34">
        <v>270505</v>
      </c>
      <c r="N967" s="2" t="s">
        <v>431</v>
      </c>
      <c r="O967" s="2" t="s">
        <v>183</v>
      </c>
      <c r="P967" s="2" t="str">
        <f t="shared" si="18"/>
        <v>270505-INTERESES-SUBCUENTA</v>
      </c>
      <c r="Q967" t="s">
        <v>2806</v>
      </c>
    </row>
    <row r="968" spans="13:17" x14ac:dyDescent="0.25">
      <c r="M968" s="34">
        <v>270510</v>
      </c>
      <c r="N968" s="2" t="s">
        <v>432</v>
      </c>
      <c r="O968" s="2" t="s">
        <v>183</v>
      </c>
      <c r="P968" s="2" t="str">
        <f t="shared" si="18"/>
        <v>270510-COMISIONES-SUBCUENTA</v>
      </c>
      <c r="Q968" t="s">
        <v>2807</v>
      </c>
    </row>
    <row r="969" spans="13:17" x14ac:dyDescent="0.25">
      <c r="M969" s="34">
        <v>270515</v>
      </c>
      <c r="N969" s="2" t="s">
        <v>435</v>
      </c>
      <c r="O969" s="2" t="s">
        <v>183</v>
      </c>
      <c r="P969" s="2" t="str">
        <f t="shared" si="18"/>
        <v>270515-ARRENDAMIENTOS-SUBCUENTA</v>
      </c>
      <c r="Q969" t="s">
        <v>2808</v>
      </c>
    </row>
    <row r="970" spans="13:17" x14ac:dyDescent="0.25">
      <c r="M970" s="34">
        <v>270520</v>
      </c>
      <c r="N970" s="2" t="s">
        <v>433</v>
      </c>
      <c r="O970" s="2" t="s">
        <v>183</v>
      </c>
      <c r="P970" s="2" t="str">
        <f t="shared" si="18"/>
        <v>270520-HONORARIOS-SUBCUENTA</v>
      </c>
      <c r="Q970" t="s">
        <v>2809</v>
      </c>
    </row>
    <row r="971" spans="13:17" x14ac:dyDescent="0.25">
      <c r="M971" s="34">
        <v>270525</v>
      </c>
      <c r="N971" s="2" t="s">
        <v>733</v>
      </c>
      <c r="O971" s="2" t="s">
        <v>183</v>
      </c>
      <c r="P971" s="2" t="str">
        <f t="shared" si="18"/>
        <v>270525-SERVICIOS TECNICOS-SUBCUENTA</v>
      </c>
      <c r="Q971" t="s">
        <v>2810</v>
      </c>
    </row>
    <row r="972" spans="13:17" x14ac:dyDescent="0.25">
      <c r="M972" s="34">
        <v>270530</v>
      </c>
      <c r="N972" s="2" t="s">
        <v>856</v>
      </c>
      <c r="O972" s="2" t="s">
        <v>183</v>
      </c>
      <c r="P972" s="2" t="str">
        <f t="shared" si="18"/>
        <v>270530-DE SUSCRIPTORES-SUBCUENTA</v>
      </c>
      <c r="Q972" t="s">
        <v>2811</v>
      </c>
    </row>
    <row r="973" spans="13:17" x14ac:dyDescent="0.25">
      <c r="M973" s="34">
        <v>270535</v>
      </c>
      <c r="N973" s="2" t="s">
        <v>735</v>
      </c>
      <c r="O973" s="2" t="s">
        <v>183</v>
      </c>
      <c r="P973" s="2" t="str">
        <f t="shared" si="18"/>
        <v>270535-TRANSPORTES, FLETES Y ACARREOS-SUBCUENTA</v>
      </c>
      <c r="Q973" t="s">
        <v>2812</v>
      </c>
    </row>
    <row r="974" spans="13:17" x14ac:dyDescent="0.25">
      <c r="M974" s="34">
        <v>270540</v>
      </c>
      <c r="N974" s="2" t="s">
        <v>857</v>
      </c>
      <c r="O974" s="2" t="s">
        <v>183</v>
      </c>
      <c r="P974" s="2" t="str">
        <f t="shared" si="18"/>
        <v>270540-MERCANCIA EN TRANSITO YA VENDIDA-SUBCUENTA</v>
      </c>
      <c r="Q974" t="s">
        <v>2813</v>
      </c>
    </row>
    <row r="975" spans="13:17" x14ac:dyDescent="0.25">
      <c r="M975" s="34">
        <v>270545</v>
      </c>
      <c r="N975" s="2" t="s">
        <v>858</v>
      </c>
      <c r="O975" s="2" t="s">
        <v>183</v>
      </c>
      <c r="P975" s="2" t="str">
        <f t="shared" si="18"/>
        <v>270545-MATRICULAS Y PENSIONES-SUBCUENTA</v>
      </c>
      <c r="Q975" t="s">
        <v>2814</v>
      </c>
    </row>
    <row r="976" spans="13:17" x14ac:dyDescent="0.25">
      <c r="M976" s="34">
        <v>270550</v>
      </c>
      <c r="N976" s="2" t="s">
        <v>859</v>
      </c>
      <c r="O976" s="2" t="s">
        <v>183</v>
      </c>
      <c r="P976" s="2" t="str">
        <f t="shared" si="18"/>
        <v>270550-CUOTAS DE ADMINISTRACION-SUBCUENTA</v>
      </c>
      <c r="Q976" t="s">
        <v>2815</v>
      </c>
    </row>
    <row r="977" spans="13:17" x14ac:dyDescent="0.25">
      <c r="M977" s="34">
        <v>270595</v>
      </c>
      <c r="N977" s="2" t="s">
        <v>323</v>
      </c>
      <c r="O977" s="2" t="s">
        <v>183</v>
      </c>
      <c r="P977" s="2" t="str">
        <f t="shared" si="18"/>
        <v>270595-OTROS-SUBCUENTA</v>
      </c>
      <c r="Q977" t="s">
        <v>2816</v>
      </c>
    </row>
    <row r="978" spans="13:17" x14ac:dyDescent="0.25">
      <c r="M978" s="34">
        <v>2710</v>
      </c>
      <c r="N978" s="2" t="s">
        <v>860</v>
      </c>
      <c r="O978" s="2" t="s">
        <v>182</v>
      </c>
      <c r="P978" s="2" t="str">
        <f t="shared" si="18"/>
        <v>2710-ABONOS DIFERIDOS-CUENTA</v>
      </c>
      <c r="Q978" t="s">
        <v>2817</v>
      </c>
    </row>
    <row r="979" spans="13:17" x14ac:dyDescent="0.25">
      <c r="M979" s="34">
        <v>271005</v>
      </c>
      <c r="N979" s="2" t="s">
        <v>861</v>
      </c>
      <c r="O979" s="2" t="s">
        <v>183</v>
      </c>
      <c r="P979" s="2" t="str">
        <f t="shared" si="18"/>
        <v>271005-REAJUSTE DEL SISTEMA-SUBCUENTA</v>
      </c>
      <c r="Q979" t="s">
        <v>2818</v>
      </c>
    </row>
    <row r="980" spans="13:17" x14ac:dyDescent="0.25">
      <c r="M980" s="34">
        <v>2715</v>
      </c>
      <c r="N980" s="2" t="s">
        <v>862</v>
      </c>
      <c r="O980" s="2" t="s">
        <v>182</v>
      </c>
      <c r="P980" s="2" t="str">
        <f t="shared" si="18"/>
        <v>2715-UTILIDAD DIFERIDA EN VENTAS A PLAZOS-CUENTA</v>
      </c>
      <c r="Q980" t="s">
        <v>2819</v>
      </c>
    </row>
    <row r="981" spans="13:17" x14ac:dyDescent="0.25">
      <c r="M981" s="34" t="s">
        <v>250</v>
      </c>
      <c r="N981" s="2" t="s">
        <v>188</v>
      </c>
      <c r="O981" s="2" t="s">
        <v>188</v>
      </c>
      <c r="P981" s="2" t="str">
        <f t="shared" si="18"/>
        <v xml:space="preserve">271501 a 271598 </v>
      </c>
      <c r="Q981" t="s">
        <v>2820</v>
      </c>
    </row>
    <row r="982" spans="13:17" x14ac:dyDescent="0.25">
      <c r="M982" s="34">
        <v>2720</v>
      </c>
      <c r="N982" s="2" t="s">
        <v>863</v>
      </c>
      <c r="O982" s="2" t="s">
        <v>182</v>
      </c>
      <c r="P982" s="2" t="str">
        <f t="shared" si="18"/>
        <v>2720-CREDITO POR CORRECCION MONETARIA DIFERIDA-CUENTA</v>
      </c>
      <c r="Q982" t="s">
        <v>2821</v>
      </c>
    </row>
    <row r="983" spans="13:17" x14ac:dyDescent="0.25">
      <c r="M983" s="34" t="s">
        <v>251</v>
      </c>
      <c r="N983" s="2" t="s">
        <v>188</v>
      </c>
      <c r="O983" s="2" t="s">
        <v>188</v>
      </c>
      <c r="P983" s="2" t="str">
        <f t="shared" si="18"/>
        <v xml:space="preserve">272001 a 272098 </v>
      </c>
      <c r="Q983" t="s">
        <v>2822</v>
      </c>
    </row>
    <row r="984" spans="13:17" x14ac:dyDescent="0.25">
      <c r="M984" s="34">
        <v>2725</v>
      </c>
      <c r="N984" s="2" t="s">
        <v>864</v>
      </c>
      <c r="O984" s="2" t="s">
        <v>182</v>
      </c>
      <c r="P984" s="2" t="str">
        <f t="shared" si="18"/>
        <v>2725-IMPUESTOS DIFERIDOS-CUENTA</v>
      </c>
      <c r="Q984" t="s">
        <v>2823</v>
      </c>
    </row>
    <row r="985" spans="13:17" x14ac:dyDescent="0.25">
      <c r="M985" s="34">
        <v>272505</v>
      </c>
      <c r="N985" s="2" t="s">
        <v>865</v>
      </c>
      <c r="O985" s="2" t="s">
        <v>183</v>
      </c>
      <c r="P985" s="2" t="str">
        <f t="shared" si="18"/>
        <v>272505-POR DEPRECIACION FLEXIBLE-SUBCUENTA</v>
      </c>
      <c r="Q985" t="s">
        <v>2824</v>
      </c>
    </row>
    <row r="986" spans="13:17" x14ac:dyDescent="0.25">
      <c r="M986" s="34">
        <v>272595</v>
      </c>
      <c r="N986" s="2" t="s">
        <v>693</v>
      </c>
      <c r="O986" s="2" t="s">
        <v>183</v>
      </c>
      <c r="P986" s="2" t="str">
        <f t="shared" si="18"/>
        <v>272595-DIVERSOS-SUBCUENTA</v>
      </c>
      <c r="Q986" t="s">
        <v>2825</v>
      </c>
    </row>
    <row r="987" spans="13:17" x14ac:dyDescent="0.25">
      <c r="M987" s="34">
        <v>272599</v>
      </c>
      <c r="N987" s="2" t="s">
        <v>367</v>
      </c>
      <c r="O987" s="2" t="s">
        <v>183</v>
      </c>
      <c r="P987" s="2" t="str">
        <f t="shared" si="18"/>
        <v>272599-AJUSTES POR INFLACION-SUBCUENTA</v>
      </c>
      <c r="Q987" t="s">
        <v>2826</v>
      </c>
    </row>
    <row r="988" spans="13:17" x14ac:dyDescent="0.25">
      <c r="M988" s="34">
        <v>28</v>
      </c>
      <c r="N988" s="2" t="s">
        <v>866</v>
      </c>
      <c r="O988" s="2" t="s">
        <v>181</v>
      </c>
      <c r="P988" s="2" t="str">
        <f t="shared" si="18"/>
        <v>28-OTROS PASIVOS-GRUPO</v>
      </c>
      <c r="Q988" t="s">
        <v>2827</v>
      </c>
    </row>
    <row r="989" spans="13:17" x14ac:dyDescent="0.25">
      <c r="M989" s="34">
        <v>2805</v>
      </c>
      <c r="N989" s="2" t="s">
        <v>867</v>
      </c>
      <c r="O989" s="2" t="s">
        <v>182</v>
      </c>
      <c r="P989" s="2" t="str">
        <f t="shared" si="18"/>
        <v>2805-ANTICIPOS Y AVANCES RECIBIDOS-CUENTA</v>
      </c>
      <c r="Q989" t="s">
        <v>2828</v>
      </c>
    </row>
    <row r="990" spans="13:17" x14ac:dyDescent="0.25">
      <c r="M990" s="34">
        <v>280505</v>
      </c>
      <c r="N990" s="2" t="s">
        <v>868</v>
      </c>
      <c r="O990" s="2" t="s">
        <v>183</v>
      </c>
      <c r="P990" s="2" t="str">
        <f t="shared" si="18"/>
        <v>280505-DE CLIENTES-SUBCUENTA</v>
      </c>
      <c r="Q990" t="s">
        <v>2829</v>
      </c>
    </row>
    <row r="991" spans="13:17" x14ac:dyDescent="0.25">
      <c r="M991" s="34">
        <v>280510</v>
      </c>
      <c r="N991" s="2" t="s">
        <v>869</v>
      </c>
      <c r="O991" s="2" t="s">
        <v>183</v>
      </c>
      <c r="P991" s="2" t="str">
        <f t="shared" si="18"/>
        <v>280510-SOBRE CONTRATOS-SUBCUENTA</v>
      </c>
      <c r="Q991" t="s">
        <v>2830</v>
      </c>
    </row>
    <row r="992" spans="13:17" x14ac:dyDescent="0.25">
      <c r="M992" s="34">
        <v>280515</v>
      </c>
      <c r="N992" s="2" t="s">
        <v>870</v>
      </c>
      <c r="O992" s="2" t="s">
        <v>183</v>
      </c>
      <c r="P992" s="2" t="str">
        <f t="shared" si="18"/>
        <v>280515-PARA OBRAS EN PROCESO-SUBCUENTA</v>
      </c>
      <c r="Q992" t="s">
        <v>2831</v>
      </c>
    </row>
    <row r="993" spans="13:17" x14ac:dyDescent="0.25">
      <c r="M993" s="34">
        <v>280595</v>
      </c>
      <c r="N993" s="2" t="s">
        <v>323</v>
      </c>
      <c r="O993" s="2" t="s">
        <v>183</v>
      </c>
      <c r="P993" s="2" t="str">
        <f t="shared" si="18"/>
        <v>280595-OTROS-SUBCUENTA</v>
      </c>
      <c r="Q993" t="s">
        <v>2832</v>
      </c>
    </row>
    <row r="994" spans="13:17" x14ac:dyDescent="0.25">
      <c r="M994" s="34">
        <v>2810</v>
      </c>
      <c r="N994" s="2" t="s">
        <v>871</v>
      </c>
      <c r="O994" s="2" t="s">
        <v>182</v>
      </c>
      <c r="P994" s="2" t="str">
        <f t="shared" si="18"/>
        <v>2810-DEPOSITOS RECIBIDOS-CUENTA</v>
      </c>
      <c r="Q994" t="s">
        <v>2833</v>
      </c>
    </row>
    <row r="995" spans="13:17" x14ac:dyDescent="0.25">
      <c r="M995" s="34">
        <v>281005</v>
      </c>
      <c r="N995" s="2" t="s">
        <v>872</v>
      </c>
      <c r="O995" s="2" t="s">
        <v>183</v>
      </c>
      <c r="P995" s="2" t="str">
        <f t="shared" si="18"/>
        <v>281005-PARA FUTURA SUSCRIPCION DE ACCIONES-SUBCUENTA</v>
      </c>
      <c r="Q995" t="s">
        <v>2834</v>
      </c>
    </row>
    <row r="996" spans="13:17" x14ac:dyDescent="0.25">
      <c r="M996" s="34">
        <v>281010</v>
      </c>
      <c r="N996" s="2" t="s">
        <v>873</v>
      </c>
      <c r="O996" s="2" t="s">
        <v>183</v>
      </c>
      <c r="P996" s="2" t="str">
        <f t="shared" si="18"/>
        <v>281010-PARA FUTURO PAGO DE CUOTAS O DERECHOS SOCIALES-SUBCUENTA</v>
      </c>
      <c r="Q996" t="s">
        <v>2835</v>
      </c>
    </row>
    <row r="997" spans="13:17" x14ac:dyDescent="0.25">
      <c r="M997" s="34">
        <v>281015</v>
      </c>
      <c r="N997" s="2" t="s">
        <v>874</v>
      </c>
      <c r="O997" s="2" t="s">
        <v>183</v>
      </c>
      <c r="P997" s="2" t="str">
        <f t="shared" si="18"/>
        <v>281015-PARA GARANTIA EN LA PRESTACION DE SERVICIOS-SUBCUENTA</v>
      </c>
      <c r="Q997" t="s">
        <v>2836</v>
      </c>
    </row>
    <row r="998" spans="13:17" x14ac:dyDescent="0.25">
      <c r="M998" s="34">
        <v>281020</v>
      </c>
      <c r="N998" s="2" t="s">
        <v>875</v>
      </c>
      <c r="O998" s="2" t="s">
        <v>183</v>
      </c>
      <c r="P998" s="2" t="str">
        <f t="shared" si="18"/>
        <v>281020-PARA GARANTIA DE CONTRATOS-SUBCUENTA</v>
      </c>
      <c r="Q998" t="s">
        <v>2837</v>
      </c>
    </row>
    <row r="999" spans="13:17" x14ac:dyDescent="0.25">
      <c r="M999" s="34">
        <v>281025</v>
      </c>
      <c r="N999" s="2" t="s">
        <v>876</v>
      </c>
      <c r="O999" s="2" t="s">
        <v>183</v>
      </c>
      <c r="P999" s="2" t="str">
        <f t="shared" si="18"/>
        <v>281025-DE LICITACIONES-SUBCUENTA</v>
      </c>
      <c r="Q999" t="s">
        <v>2838</v>
      </c>
    </row>
    <row r="1000" spans="13:17" x14ac:dyDescent="0.25">
      <c r="M1000" s="34">
        <v>281030</v>
      </c>
      <c r="N1000" s="2" t="s">
        <v>877</v>
      </c>
      <c r="O1000" s="2" t="s">
        <v>183</v>
      </c>
      <c r="P1000" s="2" t="str">
        <f t="shared" si="18"/>
        <v>281030-DE MANEJO DE BIENES-SUBCUENTA</v>
      </c>
      <c r="Q1000" t="s">
        <v>2839</v>
      </c>
    </row>
    <row r="1001" spans="13:17" x14ac:dyDescent="0.25">
      <c r="M1001" s="34">
        <v>281035</v>
      </c>
      <c r="N1001" s="2" t="s">
        <v>878</v>
      </c>
      <c r="O1001" s="2" t="s">
        <v>183</v>
      </c>
      <c r="P1001" s="2" t="str">
        <f t="shared" si="18"/>
        <v>281035-FONDO DE RESERVA-SUBCUENTA</v>
      </c>
      <c r="Q1001" t="s">
        <v>2840</v>
      </c>
    </row>
    <row r="1002" spans="13:17" x14ac:dyDescent="0.25">
      <c r="M1002" s="34">
        <v>281095</v>
      </c>
      <c r="N1002" s="2" t="s">
        <v>323</v>
      </c>
      <c r="O1002" s="2" t="s">
        <v>183</v>
      </c>
      <c r="P1002" s="2" t="str">
        <f t="shared" si="18"/>
        <v>281095-OTROS-SUBCUENTA</v>
      </c>
      <c r="Q1002" t="s">
        <v>2841</v>
      </c>
    </row>
    <row r="1003" spans="13:17" x14ac:dyDescent="0.25">
      <c r="M1003" s="34">
        <v>2815</v>
      </c>
      <c r="N1003" s="2" t="s">
        <v>879</v>
      </c>
      <c r="O1003" s="2" t="s">
        <v>182</v>
      </c>
      <c r="P1003" s="2" t="str">
        <f t="shared" si="18"/>
        <v>2815-INGRESOS RECIBIDOS PARA TERCEROS-CUENTA</v>
      </c>
      <c r="Q1003" t="s">
        <v>2842</v>
      </c>
    </row>
    <row r="1004" spans="13:17" x14ac:dyDescent="0.25">
      <c r="M1004" s="34">
        <v>281505</v>
      </c>
      <c r="N1004" s="2" t="s">
        <v>880</v>
      </c>
      <c r="O1004" s="2" t="s">
        <v>183</v>
      </c>
      <c r="P1004" s="2" t="str">
        <f t="shared" si="18"/>
        <v>281505-VALORES RECIBIDOS PARA TERCEROS-SUBCUENTA</v>
      </c>
      <c r="Q1004" t="s">
        <v>2843</v>
      </c>
    </row>
    <row r="1005" spans="13:17" x14ac:dyDescent="0.25">
      <c r="M1005" s="34">
        <v>281510</v>
      </c>
      <c r="N1005" s="2" t="s">
        <v>881</v>
      </c>
      <c r="O1005" s="2" t="s">
        <v>183</v>
      </c>
      <c r="P1005" s="2" t="str">
        <f t="shared" si="18"/>
        <v>281510-VENTA POR CUENTA DE TERCEROS-SUBCUENTA</v>
      </c>
      <c r="Q1005" t="s">
        <v>2844</v>
      </c>
    </row>
    <row r="1006" spans="13:17" x14ac:dyDescent="0.25">
      <c r="M1006" s="34">
        <v>2820</v>
      </c>
      <c r="N1006" s="2" t="s">
        <v>411</v>
      </c>
      <c r="O1006" s="2" t="s">
        <v>182</v>
      </c>
      <c r="P1006" s="2" t="str">
        <f t="shared" si="18"/>
        <v>2820-CUENTAS DE OPERACION CONJUNTA-CUENTA</v>
      </c>
      <c r="Q1006" t="s">
        <v>2845</v>
      </c>
    </row>
    <row r="1007" spans="13:17" x14ac:dyDescent="0.25">
      <c r="M1007" s="34" t="s">
        <v>252</v>
      </c>
      <c r="N1007" s="2" t="s">
        <v>188</v>
      </c>
      <c r="O1007" s="2" t="s">
        <v>188</v>
      </c>
      <c r="P1007" s="2" t="str">
        <f t="shared" si="18"/>
        <v xml:space="preserve">282001 a 282098 </v>
      </c>
      <c r="Q1007" t="s">
        <v>2846</v>
      </c>
    </row>
    <row r="1008" spans="13:17" x14ac:dyDescent="0.25">
      <c r="M1008" s="34">
        <v>2825</v>
      </c>
      <c r="N1008" s="2" t="s">
        <v>882</v>
      </c>
      <c r="O1008" s="2" t="s">
        <v>182</v>
      </c>
      <c r="P1008" s="2" t="str">
        <f t="shared" si="18"/>
        <v>2825-RETENCIONES A TERCEROS SOBRE CONTRATOS-CUENTA</v>
      </c>
      <c r="Q1008" t="s">
        <v>2847</v>
      </c>
    </row>
    <row r="1009" spans="13:17" x14ac:dyDescent="0.25">
      <c r="M1009" s="34">
        <v>282505</v>
      </c>
      <c r="N1009" s="2" t="s">
        <v>883</v>
      </c>
      <c r="O1009" s="2" t="s">
        <v>183</v>
      </c>
      <c r="P1009" s="2" t="str">
        <f t="shared" si="18"/>
        <v>282505-CUMPLIMIENTO OBLIGACIONES LABORALES-SUBCUENTA</v>
      </c>
      <c r="Q1009" t="s">
        <v>2848</v>
      </c>
    </row>
    <row r="1010" spans="13:17" x14ac:dyDescent="0.25">
      <c r="M1010" s="34">
        <v>282510</v>
      </c>
      <c r="N1010" s="2" t="s">
        <v>884</v>
      </c>
      <c r="O1010" s="2" t="s">
        <v>183</v>
      </c>
      <c r="P1010" s="2" t="str">
        <f t="shared" si="18"/>
        <v>282510-PARA ESTABILIDAD DE OBRA-SUBCUENTA</v>
      </c>
      <c r="Q1010" t="s">
        <v>2849</v>
      </c>
    </row>
    <row r="1011" spans="13:17" x14ac:dyDescent="0.25">
      <c r="M1011" s="34">
        <v>282515</v>
      </c>
      <c r="N1011" s="2" t="s">
        <v>885</v>
      </c>
      <c r="O1011" s="2" t="s">
        <v>183</v>
      </c>
      <c r="P1011" s="2" t="str">
        <f t="shared" si="18"/>
        <v>282515-GARANTIA CUMPLIMIENTO DE CONTRATOS-SUBCUENTA</v>
      </c>
      <c r="Q1011" t="s">
        <v>2850</v>
      </c>
    </row>
    <row r="1012" spans="13:17" x14ac:dyDescent="0.25">
      <c r="M1012" s="34">
        <v>2830</v>
      </c>
      <c r="N1012" s="2" t="s">
        <v>764</v>
      </c>
      <c r="O1012" s="2" t="s">
        <v>182</v>
      </c>
      <c r="P1012" s="2" t="str">
        <f t="shared" si="18"/>
        <v>2830-EMBARGOS JUDICIALES-CUENTA</v>
      </c>
      <c r="Q1012" t="s">
        <v>2851</v>
      </c>
    </row>
    <row r="1013" spans="13:17" x14ac:dyDescent="0.25">
      <c r="M1013" s="34">
        <v>283005</v>
      </c>
      <c r="N1013" s="2" t="s">
        <v>886</v>
      </c>
      <c r="O1013" s="2" t="s">
        <v>183</v>
      </c>
      <c r="P1013" s="2" t="str">
        <f t="shared" si="18"/>
        <v>283005-INDEMNIZACIONES-SUBCUENTA</v>
      </c>
      <c r="Q1013" t="s">
        <v>2852</v>
      </c>
    </row>
    <row r="1014" spans="13:17" x14ac:dyDescent="0.25">
      <c r="M1014" s="34">
        <v>283010</v>
      </c>
      <c r="N1014" s="2" t="s">
        <v>887</v>
      </c>
      <c r="O1014" s="2" t="s">
        <v>183</v>
      </c>
      <c r="P1014" s="2" t="str">
        <f t="shared" si="18"/>
        <v>283010-DEPOSITOS JUDICIALES-SUBCUENTA</v>
      </c>
      <c r="Q1014" t="s">
        <v>2853</v>
      </c>
    </row>
    <row r="1015" spans="13:17" x14ac:dyDescent="0.25">
      <c r="M1015" s="34">
        <v>2835</v>
      </c>
      <c r="N1015" s="2" t="s">
        <v>888</v>
      </c>
      <c r="O1015" s="2" t="s">
        <v>182</v>
      </c>
      <c r="P1015" s="2" t="str">
        <f t="shared" si="18"/>
        <v>2835-ACREEDORES DEL SISTEMA-CUENTA</v>
      </c>
      <c r="Q1015" t="s">
        <v>2854</v>
      </c>
    </row>
    <row r="1016" spans="13:17" x14ac:dyDescent="0.25">
      <c r="M1016" s="34">
        <v>283505</v>
      </c>
      <c r="N1016" s="2" t="s">
        <v>889</v>
      </c>
      <c r="O1016" s="2" t="s">
        <v>183</v>
      </c>
      <c r="P1016" s="2" t="str">
        <f t="shared" si="18"/>
        <v>283505-CUOTAS NETAS-SUBCUENTA</v>
      </c>
      <c r="Q1016" t="s">
        <v>2855</v>
      </c>
    </row>
    <row r="1017" spans="13:17" x14ac:dyDescent="0.25">
      <c r="M1017" s="34">
        <v>283510</v>
      </c>
      <c r="N1017" s="2" t="s">
        <v>890</v>
      </c>
      <c r="O1017" s="2" t="s">
        <v>183</v>
      </c>
      <c r="P1017" s="2" t="str">
        <f t="shared" si="18"/>
        <v>283510-GRUPOS EN FORMACION-SUBCUENTA</v>
      </c>
      <c r="Q1017" t="s">
        <v>2856</v>
      </c>
    </row>
    <row r="1018" spans="13:17" x14ac:dyDescent="0.25">
      <c r="M1018" s="34">
        <v>2840</v>
      </c>
      <c r="N1018" s="2" t="s">
        <v>372</v>
      </c>
      <c r="O1018" s="2" t="s">
        <v>182</v>
      </c>
      <c r="P1018" s="2" t="str">
        <f t="shared" si="18"/>
        <v>2840-CUENTAS EN PARTICIPACION-CUENTA</v>
      </c>
      <c r="Q1018" t="s">
        <v>2857</v>
      </c>
    </row>
    <row r="1019" spans="13:17" x14ac:dyDescent="0.25">
      <c r="M1019" s="34" t="s">
        <v>253</v>
      </c>
      <c r="N1019" s="2" t="s">
        <v>188</v>
      </c>
      <c r="O1019" s="2" t="s">
        <v>188</v>
      </c>
      <c r="P1019" s="2" t="str">
        <f t="shared" si="18"/>
        <v xml:space="preserve">284001 a 284098 </v>
      </c>
      <c r="Q1019" t="s">
        <v>2858</v>
      </c>
    </row>
    <row r="1020" spans="13:17" x14ac:dyDescent="0.25">
      <c r="M1020" s="34">
        <v>2895</v>
      </c>
      <c r="N1020" s="2" t="s">
        <v>693</v>
      </c>
      <c r="O1020" s="2" t="s">
        <v>182</v>
      </c>
      <c r="P1020" s="2" t="str">
        <f t="shared" si="18"/>
        <v>2895-DIVERSOS-CUENTA</v>
      </c>
      <c r="Q1020" t="s">
        <v>2859</v>
      </c>
    </row>
    <row r="1021" spans="13:17" x14ac:dyDescent="0.25">
      <c r="M1021" s="34">
        <v>289505</v>
      </c>
      <c r="N1021" s="2" t="s">
        <v>891</v>
      </c>
      <c r="O1021" s="2" t="s">
        <v>183</v>
      </c>
      <c r="P1021" s="2" t="str">
        <f t="shared" si="18"/>
        <v>289505-PRESTAMOS DE PRODUCTOS-SUBCUENTA</v>
      </c>
      <c r="Q1021" t="s">
        <v>2860</v>
      </c>
    </row>
    <row r="1022" spans="13:17" x14ac:dyDescent="0.25">
      <c r="M1022" s="34">
        <v>289510</v>
      </c>
      <c r="N1022" s="2" t="s">
        <v>892</v>
      </c>
      <c r="O1022" s="2" t="s">
        <v>183</v>
      </c>
      <c r="P1022" s="2" t="str">
        <f t="shared" si="18"/>
        <v>289510-REEMBOLSO DE COSTOS EXPLORATORIOS-SUBCUENTA</v>
      </c>
      <c r="Q1022" t="s">
        <v>2861</v>
      </c>
    </row>
    <row r="1023" spans="13:17" x14ac:dyDescent="0.25">
      <c r="M1023" s="34">
        <v>289515</v>
      </c>
      <c r="N1023" s="2" t="s">
        <v>893</v>
      </c>
      <c r="O1023" s="2" t="s">
        <v>183</v>
      </c>
      <c r="P1023" s="2" t="str">
        <f t="shared" si="18"/>
        <v>289515-PROGRAMA DE EXTENSION AGROPECUARIA-SUBCUENTA</v>
      </c>
      <c r="Q1023" t="s">
        <v>2862</v>
      </c>
    </row>
    <row r="1024" spans="13:17" x14ac:dyDescent="0.25">
      <c r="M1024" s="34">
        <v>29</v>
      </c>
      <c r="N1024" s="2" t="s">
        <v>894</v>
      </c>
      <c r="O1024" s="2" t="s">
        <v>181</v>
      </c>
      <c r="P1024" s="2" t="str">
        <f t="shared" si="18"/>
        <v>29-BONOS Y PAPELES COMERCIALES-GRUPO</v>
      </c>
      <c r="Q1024" t="s">
        <v>2863</v>
      </c>
    </row>
    <row r="1025" spans="13:17" x14ac:dyDescent="0.25">
      <c r="M1025" s="34">
        <v>2905</v>
      </c>
      <c r="N1025" s="2" t="s">
        <v>895</v>
      </c>
      <c r="O1025" s="2" t="s">
        <v>182</v>
      </c>
      <c r="P1025" s="2" t="str">
        <f t="shared" si="18"/>
        <v>2905-BONOS EN CIRCULACION-CUENTA</v>
      </c>
      <c r="Q1025" t="s">
        <v>2864</v>
      </c>
    </row>
    <row r="1026" spans="13:17" x14ac:dyDescent="0.25">
      <c r="M1026" s="34">
        <v>290505</v>
      </c>
      <c r="N1026" s="2" t="s">
        <v>896</v>
      </c>
      <c r="O1026" s="2" t="s">
        <v>183</v>
      </c>
      <c r="P1026" s="2" t="str">
        <f t="shared" si="18"/>
        <v>290505-GARANTIA GENERAL-SUBCUENTA</v>
      </c>
      <c r="Q1026" t="s">
        <v>2865</v>
      </c>
    </row>
    <row r="1027" spans="13:17" x14ac:dyDescent="0.25">
      <c r="M1027" s="34">
        <v>290510</v>
      </c>
      <c r="N1027" s="2" t="s">
        <v>897</v>
      </c>
      <c r="O1027" s="2" t="s">
        <v>183</v>
      </c>
      <c r="P1027" s="2" t="str">
        <f t="shared" si="18"/>
        <v>290510-GARANTIA ESPECIFICA-SUBCUENTA</v>
      </c>
      <c r="Q1027" t="s">
        <v>2866</v>
      </c>
    </row>
    <row r="1028" spans="13:17" x14ac:dyDescent="0.25">
      <c r="M1028" s="34">
        <v>2910</v>
      </c>
      <c r="N1028" s="2" t="s">
        <v>898</v>
      </c>
      <c r="O1028" s="2" t="s">
        <v>182</v>
      </c>
      <c r="P1028" s="2" t="str">
        <f t="shared" ref="P1028:P1091" si="19">IF(AND(M1028&lt;&gt;"",N1028&lt;&gt;"",O1028&lt;&gt;""),M1028&amp;"-"&amp;N1028&amp;"-"&amp;O1028,IF(AND(M1028="",N1028&lt;&gt;"",O1028&lt;&gt;""),N1028&amp;"-"&amp;O1028,IF(AND(M1028&lt;&gt;"",N1028="",O1028&lt;&gt;""),M1028&amp;"-"&amp;O1028,IF(AND(M1028&lt;&gt;"",N1028&lt;&gt;"",O1028=""),M1028&amp;"-"&amp;N1028,IF(AND(M1028&lt;&gt;"",N1028="",O1028=""),M1028,"")))))</f>
        <v>2910-BONOS OBLIGATORIAMENTE CONVERTIBLES EN ACCIONES-CUENTA</v>
      </c>
      <c r="Q1028" t="s">
        <v>2867</v>
      </c>
    </row>
    <row r="1029" spans="13:17" x14ac:dyDescent="0.25">
      <c r="M1029" s="34" t="s">
        <v>254</v>
      </c>
      <c r="N1029" s="2" t="s">
        <v>188</v>
      </c>
      <c r="O1029" s="2" t="s">
        <v>188</v>
      </c>
      <c r="P1029" s="2" t="str">
        <f t="shared" si="19"/>
        <v xml:space="preserve">291001 a 291098 </v>
      </c>
      <c r="Q1029" t="s">
        <v>2868</v>
      </c>
    </row>
    <row r="1030" spans="13:17" x14ac:dyDescent="0.25">
      <c r="M1030" s="34">
        <v>2915</v>
      </c>
      <c r="N1030" s="2" t="s">
        <v>339</v>
      </c>
      <c r="O1030" s="2" t="s">
        <v>182</v>
      </c>
      <c r="P1030" s="2" t="str">
        <f t="shared" si="19"/>
        <v>2915-PAPELES COMERCIALES-CUENTA</v>
      </c>
      <c r="Q1030" t="s">
        <v>2869</v>
      </c>
    </row>
    <row r="1031" spans="13:17" x14ac:dyDescent="0.25">
      <c r="M1031" s="34" t="s">
        <v>255</v>
      </c>
      <c r="N1031" s="2" t="s">
        <v>188</v>
      </c>
      <c r="O1031" s="2" t="s">
        <v>188</v>
      </c>
      <c r="P1031" s="2" t="str">
        <f t="shared" si="19"/>
        <v xml:space="preserve">291501 a 291598 </v>
      </c>
      <c r="Q1031" t="s">
        <v>2870</v>
      </c>
    </row>
    <row r="1032" spans="13:17" x14ac:dyDescent="0.25">
      <c r="M1032" s="34">
        <v>3</v>
      </c>
      <c r="N1032" s="2" t="s">
        <v>899</v>
      </c>
      <c r="O1032" s="2" t="s">
        <v>180</v>
      </c>
      <c r="P1032" s="2" t="str">
        <f t="shared" si="19"/>
        <v>3-PATRIMONIO-CLASE</v>
      </c>
      <c r="Q1032" t="s">
        <v>2871</v>
      </c>
    </row>
    <row r="1033" spans="13:17" x14ac:dyDescent="0.25">
      <c r="M1033" s="34">
        <v>31</v>
      </c>
      <c r="N1033" s="2" t="s">
        <v>900</v>
      </c>
      <c r="O1033" s="2" t="s">
        <v>181</v>
      </c>
      <c r="P1033" s="2" t="str">
        <f t="shared" si="19"/>
        <v>31-CAPITAL SOCIAL-GRUPO</v>
      </c>
      <c r="Q1033" t="s">
        <v>2872</v>
      </c>
    </row>
    <row r="1034" spans="13:17" x14ac:dyDescent="0.25">
      <c r="M1034" s="34">
        <v>3105</v>
      </c>
      <c r="N1034" s="2" t="s">
        <v>901</v>
      </c>
      <c r="O1034" s="2" t="s">
        <v>182</v>
      </c>
      <c r="P1034" s="2" t="str">
        <f t="shared" si="19"/>
        <v>3105-CAPITAL SUSCRITO Y PAGADO-CUENTA</v>
      </c>
      <c r="Q1034" t="s">
        <v>2873</v>
      </c>
    </row>
    <row r="1035" spans="13:17" x14ac:dyDescent="0.25">
      <c r="M1035" s="34">
        <v>310505</v>
      </c>
      <c r="N1035" s="2" t="s">
        <v>902</v>
      </c>
      <c r="O1035" s="2" t="s">
        <v>183</v>
      </c>
      <c r="P1035" s="2" t="str">
        <f t="shared" si="19"/>
        <v>310505-CAPITAL AUTORIZADO-SUBCUENTA</v>
      </c>
      <c r="Q1035" t="s">
        <v>2874</v>
      </c>
    </row>
    <row r="1036" spans="13:17" x14ac:dyDescent="0.25">
      <c r="M1036" s="34">
        <v>310510</v>
      </c>
      <c r="N1036" s="2" t="s">
        <v>903</v>
      </c>
      <c r="O1036" s="2" t="s">
        <v>183</v>
      </c>
      <c r="P1036" s="2" t="str">
        <f t="shared" si="19"/>
        <v>310510-CAPITAL POR SUSCRIBIR (DB)-SUBCUENTA</v>
      </c>
      <c r="Q1036" t="s">
        <v>2875</v>
      </c>
    </row>
    <row r="1037" spans="13:17" x14ac:dyDescent="0.25">
      <c r="M1037" s="34">
        <v>310515</v>
      </c>
      <c r="N1037" s="2" t="s">
        <v>904</v>
      </c>
      <c r="O1037" s="2" t="s">
        <v>183</v>
      </c>
      <c r="P1037" s="2" t="str">
        <f t="shared" si="19"/>
        <v>310515-CAPITAL SUSCRITO POR COBRAR (DB)-SUBCUENTA</v>
      </c>
      <c r="Q1037" t="s">
        <v>2876</v>
      </c>
    </row>
    <row r="1038" spans="13:17" x14ac:dyDescent="0.25">
      <c r="M1038" s="34">
        <v>3110</v>
      </c>
      <c r="N1038" s="2" t="s">
        <v>905</v>
      </c>
      <c r="O1038" s="2" t="s">
        <v>182</v>
      </c>
      <c r="P1038" s="2" t="str">
        <f t="shared" si="19"/>
        <v>3110-ACCIONES, CUOTAS O PARTES DE INTERES SOCIAL PROPIAS READQUIRIDAS (DB)-CUENTA</v>
      </c>
      <c r="Q1038" t="s">
        <v>2877</v>
      </c>
    </row>
    <row r="1039" spans="13:17" x14ac:dyDescent="0.25">
      <c r="M1039" s="34">
        <v>311005</v>
      </c>
      <c r="N1039" s="2" t="s">
        <v>906</v>
      </c>
      <c r="O1039" s="2" t="s">
        <v>183</v>
      </c>
      <c r="P1039" s="2" t="str">
        <f t="shared" si="19"/>
        <v>311005-ACCIONES PROPIAS READQUIRIDAS (DB)-SUBCUENTA</v>
      </c>
      <c r="Q1039" t="s">
        <v>2878</v>
      </c>
    </row>
    <row r="1040" spans="13:17" x14ac:dyDescent="0.25">
      <c r="M1040" s="34">
        <v>311010</v>
      </c>
      <c r="N1040" s="2" t="s">
        <v>907</v>
      </c>
      <c r="O1040" s="2" t="s">
        <v>183</v>
      </c>
      <c r="P1040" s="2" t="str">
        <f t="shared" si="19"/>
        <v>311010-CUOTAS O PARTES DE INTERES SOCIAL PROPIAS READQUIRIDAS (DB)-SUBCUENTA</v>
      </c>
      <c r="Q1040" t="s">
        <v>2879</v>
      </c>
    </row>
    <row r="1041" spans="13:17" x14ac:dyDescent="0.25">
      <c r="M1041" s="34">
        <v>3115</v>
      </c>
      <c r="N1041" s="2" t="s">
        <v>908</v>
      </c>
      <c r="O1041" s="2" t="s">
        <v>182</v>
      </c>
      <c r="P1041" s="2" t="str">
        <f t="shared" si="19"/>
        <v>3115-APORTES SOCIALES-CUENTA</v>
      </c>
      <c r="Q1041" t="s">
        <v>2880</v>
      </c>
    </row>
    <row r="1042" spans="13:17" x14ac:dyDescent="0.25">
      <c r="M1042" s="34">
        <v>311505</v>
      </c>
      <c r="N1042" s="2" t="s">
        <v>321</v>
      </c>
      <c r="O1042" s="2" t="s">
        <v>183</v>
      </c>
      <c r="P1042" s="2" t="str">
        <f t="shared" si="19"/>
        <v>311505-CUOTAS O PARTES DE INTERES SOCIAL-SUBCUENTA</v>
      </c>
      <c r="Q1042" t="s">
        <v>2881</v>
      </c>
    </row>
    <row r="1043" spans="13:17" x14ac:dyDescent="0.25">
      <c r="M1043" s="34">
        <v>311510</v>
      </c>
      <c r="N1043" s="2" t="s">
        <v>909</v>
      </c>
      <c r="O1043" s="2" t="s">
        <v>183</v>
      </c>
      <c r="P1043" s="2" t="str">
        <f t="shared" si="19"/>
        <v>311510-APORTES DE SOCIOS - FONDO MUTUO DE INVERSION-SUBCUENTA</v>
      </c>
      <c r="Q1043" t="s">
        <v>2882</v>
      </c>
    </row>
    <row r="1044" spans="13:17" x14ac:dyDescent="0.25">
      <c r="M1044" s="34">
        <v>311515</v>
      </c>
      <c r="N1044" s="2" t="s">
        <v>910</v>
      </c>
      <c r="O1044" s="2" t="s">
        <v>183</v>
      </c>
      <c r="P1044" s="2" t="str">
        <f t="shared" si="19"/>
        <v>311515-CONTRIBUCION DE LA EMPRESA - FONDO MUTUO DE INVERSION-SUBCUENTA</v>
      </c>
      <c r="Q1044" t="s">
        <v>2883</v>
      </c>
    </row>
    <row r="1045" spans="13:17" x14ac:dyDescent="0.25">
      <c r="M1045" s="34">
        <v>311520</v>
      </c>
      <c r="N1045" s="2" t="s">
        <v>911</v>
      </c>
      <c r="O1045" s="2" t="s">
        <v>183</v>
      </c>
      <c r="P1045" s="2" t="str">
        <f t="shared" si="19"/>
        <v>311520-SUSCRIPCIONES DEL PUBLICO-SUBCUENTA</v>
      </c>
      <c r="Q1045" t="s">
        <v>2884</v>
      </c>
    </row>
    <row r="1046" spans="13:17" x14ac:dyDescent="0.25">
      <c r="M1046" s="34">
        <v>3120</v>
      </c>
      <c r="N1046" s="2" t="s">
        <v>912</v>
      </c>
      <c r="O1046" s="2" t="s">
        <v>182</v>
      </c>
      <c r="P1046" s="2" t="str">
        <f t="shared" si="19"/>
        <v>3120-CAPITAL ASIGNADO-CUENTA</v>
      </c>
      <c r="Q1046" t="s">
        <v>2885</v>
      </c>
    </row>
    <row r="1047" spans="13:17" x14ac:dyDescent="0.25">
      <c r="M1047" s="34" t="s">
        <v>256</v>
      </c>
      <c r="N1047" s="2" t="s">
        <v>188</v>
      </c>
      <c r="O1047" s="2" t="s">
        <v>188</v>
      </c>
      <c r="P1047" s="2" t="str">
        <f t="shared" si="19"/>
        <v xml:space="preserve">312001 a 312098 </v>
      </c>
      <c r="Q1047" t="s">
        <v>2886</v>
      </c>
    </row>
    <row r="1048" spans="13:17" x14ac:dyDescent="0.25">
      <c r="M1048" s="34">
        <v>3125</v>
      </c>
      <c r="N1048" s="2" t="s">
        <v>913</v>
      </c>
      <c r="O1048" s="2" t="s">
        <v>182</v>
      </c>
      <c r="P1048" s="2" t="str">
        <f t="shared" si="19"/>
        <v>3125-INVERSION SUPLEMENTARIA AL CAPITAL ASIGNADO-CUENTA</v>
      </c>
      <c r="Q1048" t="s">
        <v>2887</v>
      </c>
    </row>
    <row r="1049" spans="13:17" x14ac:dyDescent="0.25">
      <c r="M1049" s="34" t="s">
        <v>257</v>
      </c>
      <c r="N1049" s="2" t="s">
        <v>188</v>
      </c>
      <c r="O1049" s="2" t="s">
        <v>188</v>
      </c>
      <c r="P1049" s="2" t="str">
        <f t="shared" si="19"/>
        <v xml:space="preserve">312501 a 312598 </v>
      </c>
      <c r="Q1049" t="s">
        <v>2888</v>
      </c>
    </row>
    <row r="1050" spans="13:17" x14ac:dyDescent="0.25">
      <c r="M1050" s="34">
        <v>3130</v>
      </c>
      <c r="N1050" s="2" t="s">
        <v>914</v>
      </c>
      <c r="O1050" s="2" t="s">
        <v>182</v>
      </c>
      <c r="P1050" s="2" t="str">
        <f t="shared" si="19"/>
        <v>3130-CAPITAL DE PERSONAS NATURALES-CUENTA</v>
      </c>
      <c r="Q1050" t="s">
        <v>2889</v>
      </c>
    </row>
    <row r="1051" spans="13:17" x14ac:dyDescent="0.25">
      <c r="M1051" s="34" t="s">
        <v>258</v>
      </c>
      <c r="N1051" s="2" t="s">
        <v>188</v>
      </c>
      <c r="O1051" s="2" t="s">
        <v>188</v>
      </c>
      <c r="P1051" s="2" t="str">
        <f t="shared" si="19"/>
        <v xml:space="preserve">313001 a 313098 </v>
      </c>
      <c r="Q1051" t="s">
        <v>2890</v>
      </c>
    </row>
    <row r="1052" spans="13:17" x14ac:dyDescent="0.25">
      <c r="M1052" s="34">
        <v>3135</v>
      </c>
      <c r="N1052" s="2" t="s">
        <v>915</v>
      </c>
      <c r="O1052" s="2" t="s">
        <v>182</v>
      </c>
      <c r="P1052" s="2" t="str">
        <f t="shared" si="19"/>
        <v>3135-APORTES DEL ESTADO-CUENTA</v>
      </c>
      <c r="Q1052" t="s">
        <v>2891</v>
      </c>
    </row>
    <row r="1053" spans="13:17" x14ac:dyDescent="0.25">
      <c r="M1053" s="34" t="s">
        <v>259</v>
      </c>
      <c r="N1053" s="2" t="s">
        <v>188</v>
      </c>
      <c r="O1053" s="2" t="s">
        <v>188</v>
      </c>
      <c r="P1053" s="2" t="str">
        <f t="shared" si="19"/>
        <v xml:space="preserve">313501 a 313598 </v>
      </c>
      <c r="Q1053" t="s">
        <v>2892</v>
      </c>
    </row>
    <row r="1054" spans="13:17" x14ac:dyDescent="0.25">
      <c r="M1054" s="34">
        <v>3140</v>
      </c>
      <c r="N1054" s="2" t="s">
        <v>916</v>
      </c>
      <c r="O1054" s="2" t="s">
        <v>182</v>
      </c>
      <c r="P1054" s="2" t="str">
        <f t="shared" si="19"/>
        <v>3140-FONDO SOCIAL-CUENTA</v>
      </c>
      <c r="Q1054" t="s">
        <v>2893</v>
      </c>
    </row>
    <row r="1055" spans="13:17" x14ac:dyDescent="0.25">
      <c r="M1055" s="34" t="s">
        <v>260</v>
      </c>
      <c r="N1055" s="2" t="s">
        <v>188</v>
      </c>
      <c r="O1055" s="2" t="s">
        <v>188</v>
      </c>
      <c r="P1055" s="2" t="str">
        <f t="shared" si="19"/>
        <v xml:space="preserve">314001 a 314098 </v>
      </c>
      <c r="Q1055" t="s">
        <v>2894</v>
      </c>
    </row>
    <row r="1056" spans="13:17" x14ac:dyDescent="0.25">
      <c r="M1056" s="34">
        <v>32</v>
      </c>
      <c r="N1056" s="2" t="s">
        <v>917</v>
      </c>
      <c r="O1056" s="2" t="s">
        <v>181</v>
      </c>
      <c r="P1056" s="2" t="str">
        <f t="shared" si="19"/>
        <v>32-SUPERAVIT DE CAPITAL-GRUPO</v>
      </c>
      <c r="Q1056" t="s">
        <v>2895</v>
      </c>
    </row>
    <row r="1057" spans="13:17" x14ac:dyDescent="0.25">
      <c r="M1057" s="34">
        <v>3205</v>
      </c>
      <c r="N1057" s="2" t="s">
        <v>918</v>
      </c>
      <c r="O1057" s="2" t="s">
        <v>182</v>
      </c>
      <c r="P1057" s="2" t="str">
        <f t="shared" si="19"/>
        <v>3205-PRIMA EN COLOCACION DE ACCIONES, CUOTAS O PARTES DE INTERES SOCIAL-CUENTA</v>
      </c>
      <c r="Q1057" t="s">
        <v>2896</v>
      </c>
    </row>
    <row r="1058" spans="13:17" x14ac:dyDescent="0.25">
      <c r="M1058" s="34">
        <v>320505</v>
      </c>
      <c r="N1058" s="2" t="s">
        <v>919</v>
      </c>
      <c r="O1058" s="2" t="s">
        <v>183</v>
      </c>
      <c r="P1058" s="2" t="str">
        <f t="shared" si="19"/>
        <v>320505-PRIMA EN COLOCACION DE ACCIONES-SUBCUENTA</v>
      </c>
      <c r="Q1058" t="s">
        <v>2897</v>
      </c>
    </row>
    <row r="1059" spans="13:17" x14ac:dyDescent="0.25">
      <c r="M1059" s="34">
        <v>320510</v>
      </c>
      <c r="N1059" s="2" t="s">
        <v>920</v>
      </c>
      <c r="O1059" s="2" t="s">
        <v>183</v>
      </c>
      <c r="P1059" s="2" t="str">
        <f t="shared" si="19"/>
        <v>320510-PRIMA EN COLOCACION DE ACCIONES POR COBRAR (DB)-SUBCUENTA</v>
      </c>
      <c r="Q1059" t="s">
        <v>2898</v>
      </c>
    </row>
    <row r="1060" spans="13:17" x14ac:dyDescent="0.25">
      <c r="M1060" s="34">
        <v>320515</v>
      </c>
      <c r="N1060" s="2" t="s">
        <v>921</v>
      </c>
      <c r="O1060" s="2" t="s">
        <v>183</v>
      </c>
      <c r="P1060" s="2" t="str">
        <f t="shared" si="19"/>
        <v>320515-PRIMA EN COLOCACION DE CUOTAS O PARTES DE INTERES SOCIAL-SUBCUENTA</v>
      </c>
      <c r="Q1060" t="s">
        <v>2899</v>
      </c>
    </row>
    <row r="1061" spans="13:17" x14ac:dyDescent="0.25">
      <c r="M1061" s="34">
        <v>3210</v>
      </c>
      <c r="N1061" s="2" t="s">
        <v>922</v>
      </c>
      <c r="O1061" s="2" t="s">
        <v>182</v>
      </c>
      <c r="P1061" s="2" t="str">
        <f t="shared" si="19"/>
        <v>3210-DONACIONES-CUENTA</v>
      </c>
      <c r="Q1061" t="s">
        <v>2900</v>
      </c>
    </row>
    <row r="1062" spans="13:17" x14ac:dyDescent="0.25">
      <c r="M1062" s="34">
        <v>321005</v>
      </c>
      <c r="N1062" s="2" t="s">
        <v>923</v>
      </c>
      <c r="O1062" s="2" t="s">
        <v>183</v>
      </c>
      <c r="P1062" s="2" t="str">
        <f t="shared" si="19"/>
        <v>321005-EN DINERO-SUBCUENTA</v>
      </c>
      <c r="Q1062" t="s">
        <v>2901</v>
      </c>
    </row>
    <row r="1063" spans="13:17" x14ac:dyDescent="0.25">
      <c r="M1063" s="34">
        <v>321010</v>
      </c>
      <c r="N1063" s="2" t="s">
        <v>924</v>
      </c>
      <c r="O1063" s="2" t="s">
        <v>183</v>
      </c>
      <c r="P1063" s="2" t="str">
        <f t="shared" si="19"/>
        <v>321010-EN VALORES MOBILIARIOS-SUBCUENTA</v>
      </c>
      <c r="Q1063" t="s">
        <v>2902</v>
      </c>
    </row>
    <row r="1064" spans="13:17" x14ac:dyDescent="0.25">
      <c r="M1064" s="34">
        <v>321015</v>
      </c>
      <c r="N1064" s="2" t="s">
        <v>925</v>
      </c>
      <c r="O1064" s="2" t="s">
        <v>183</v>
      </c>
      <c r="P1064" s="2" t="str">
        <f t="shared" si="19"/>
        <v>321015-EN BIENES MUEBLES-SUBCUENTA</v>
      </c>
      <c r="Q1064" t="s">
        <v>2903</v>
      </c>
    </row>
    <row r="1065" spans="13:17" x14ac:dyDescent="0.25">
      <c r="M1065" s="34">
        <v>321020</v>
      </c>
      <c r="N1065" s="2" t="s">
        <v>926</v>
      </c>
      <c r="O1065" s="2" t="s">
        <v>183</v>
      </c>
      <c r="P1065" s="2" t="str">
        <f t="shared" si="19"/>
        <v>321020-EN BIENES INMUEBLES-SUBCUENTA</v>
      </c>
      <c r="Q1065" t="s">
        <v>2904</v>
      </c>
    </row>
    <row r="1066" spans="13:17" x14ac:dyDescent="0.25">
      <c r="M1066" s="34">
        <v>321025</v>
      </c>
      <c r="N1066" s="2" t="s">
        <v>927</v>
      </c>
      <c r="O1066" s="2" t="s">
        <v>183</v>
      </c>
      <c r="P1066" s="2" t="str">
        <f t="shared" si="19"/>
        <v>321025-EN INTANGIBLES-SUBCUENTA</v>
      </c>
      <c r="Q1066" t="s">
        <v>2905</v>
      </c>
    </row>
    <row r="1067" spans="13:17" x14ac:dyDescent="0.25">
      <c r="M1067" s="34">
        <v>3215</v>
      </c>
      <c r="N1067" s="2" t="s">
        <v>639</v>
      </c>
      <c r="O1067" s="2" t="s">
        <v>182</v>
      </c>
      <c r="P1067" s="2" t="str">
        <f t="shared" si="19"/>
        <v>3215-CREDITO MERCANTIL-CUENTA</v>
      </c>
      <c r="Q1067" t="s">
        <v>2906</v>
      </c>
    </row>
    <row r="1068" spans="13:17" x14ac:dyDescent="0.25">
      <c r="M1068" s="34" t="s">
        <v>261</v>
      </c>
      <c r="N1068" s="2" t="s">
        <v>188</v>
      </c>
      <c r="O1068" s="2" t="s">
        <v>188</v>
      </c>
      <c r="P1068" s="2" t="str">
        <f t="shared" si="19"/>
        <v xml:space="preserve">321501 a 321598 </v>
      </c>
      <c r="Q1068" t="s">
        <v>2907</v>
      </c>
    </row>
    <row r="1069" spans="13:17" x14ac:dyDescent="0.25">
      <c r="M1069" s="34">
        <v>33</v>
      </c>
      <c r="N1069" s="2" t="s">
        <v>928</v>
      </c>
      <c r="O1069" s="2" t="s">
        <v>181</v>
      </c>
      <c r="P1069" s="2" t="str">
        <f t="shared" si="19"/>
        <v>33-RESERVAS-GRUPO</v>
      </c>
      <c r="Q1069" t="s">
        <v>2908</v>
      </c>
    </row>
    <row r="1070" spans="13:17" x14ac:dyDescent="0.25">
      <c r="M1070" s="34">
        <v>3305</v>
      </c>
      <c r="N1070" s="2" t="s">
        <v>929</v>
      </c>
      <c r="O1070" s="2" t="s">
        <v>182</v>
      </c>
      <c r="P1070" s="2" t="str">
        <f t="shared" si="19"/>
        <v>3305-RESERVAS OBLIGATORIAS-CUENTA</v>
      </c>
      <c r="Q1070" t="s">
        <v>2909</v>
      </c>
    </row>
    <row r="1071" spans="13:17" x14ac:dyDescent="0.25">
      <c r="M1071" s="34">
        <v>330505</v>
      </c>
      <c r="N1071" s="2" t="s">
        <v>930</v>
      </c>
      <c r="O1071" s="2" t="s">
        <v>183</v>
      </c>
      <c r="P1071" s="2" t="str">
        <f t="shared" si="19"/>
        <v>330505-RESERVA LEGAL-SUBCUENTA</v>
      </c>
      <c r="Q1071" t="s">
        <v>2910</v>
      </c>
    </row>
    <row r="1072" spans="13:17" x14ac:dyDescent="0.25">
      <c r="M1072" s="34">
        <v>330510</v>
      </c>
      <c r="N1072" s="2" t="s">
        <v>931</v>
      </c>
      <c r="O1072" s="2" t="s">
        <v>183</v>
      </c>
      <c r="P1072" s="2" t="str">
        <f t="shared" si="19"/>
        <v>330510-RESERVAS POR DISPOSICIONES FISCALES-SUBCUENTA</v>
      </c>
      <c r="Q1072" t="s">
        <v>2911</v>
      </c>
    </row>
    <row r="1073" spans="13:17" x14ac:dyDescent="0.25">
      <c r="M1073" s="34">
        <v>330515</v>
      </c>
      <c r="N1073" s="2" t="s">
        <v>932</v>
      </c>
      <c r="O1073" s="2" t="s">
        <v>183</v>
      </c>
      <c r="P1073" s="2" t="str">
        <f t="shared" si="19"/>
        <v>330515-RESERVA PARA READQUISICION DE ACCIONES-SUBCUENTA</v>
      </c>
      <c r="Q1073" t="s">
        <v>2912</v>
      </c>
    </row>
    <row r="1074" spans="13:17" x14ac:dyDescent="0.25">
      <c r="M1074" s="34">
        <v>330517</v>
      </c>
      <c r="N1074" s="2" t="s">
        <v>933</v>
      </c>
      <c r="O1074" s="2" t="s">
        <v>183</v>
      </c>
      <c r="P1074" s="2" t="str">
        <f t="shared" si="19"/>
        <v>330517-RESERVA PARA READQUISICION DE CUOTAS O PARTES DE INTERES SOCIAL-SUBCUENTA</v>
      </c>
      <c r="Q1074" t="s">
        <v>2913</v>
      </c>
    </row>
    <row r="1075" spans="13:17" x14ac:dyDescent="0.25">
      <c r="M1075" s="34">
        <v>330520</v>
      </c>
      <c r="N1075" s="2" t="s">
        <v>934</v>
      </c>
      <c r="O1075" s="2" t="s">
        <v>183</v>
      </c>
      <c r="P1075" s="2" t="str">
        <f t="shared" si="19"/>
        <v>330520-RESERVA PARA EXTENSION AGROPECUARIA-SUBCUENTA</v>
      </c>
      <c r="Q1075" t="s">
        <v>2914</v>
      </c>
    </row>
    <row r="1076" spans="13:17" x14ac:dyDescent="0.25">
      <c r="M1076" s="34">
        <v>330525</v>
      </c>
      <c r="N1076" s="2" t="s">
        <v>935</v>
      </c>
      <c r="O1076" s="2" t="s">
        <v>183</v>
      </c>
      <c r="P1076" s="2" t="str">
        <f t="shared" si="19"/>
        <v>330525-RESERVA LEY 7a. DE 1990-SUBCUENTA</v>
      </c>
      <c r="Q1076" t="s">
        <v>2915</v>
      </c>
    </row>
    <row r="1077" spans="13:17" x14ac:dyDescent="0.25">
      <c r="M1077" s="34">
        <v>330530</v>
      </c>
      <c r="N1077" s="2" t="s">
        <v>936</v>
      </c>
      <c r="O1077" s="2" t="s">
        <v>183</v>
      </c>
      <c r="P1077" s="2" t="str">
        <f t="shared" si="19"/>
        <v>330530-RESERVA PARA REPOSICION DE SEMOVIENTES-SUBCUENTA</v>
      </c>
      <c r="Q1077" t="s">
        <v>2916</v>
      </c>
    </row>
    <row r="1078" spans="13:17" x14ac:dyDescent="0.25">
      <c r="M1078" s="34">
        <v>330535</v>
      </c>
      <c r="N1078" s="2" t="s">
        <v>937</v>
      </c>
      <c r="O1078" s="2" t="s">
        <v>183</v>
      </c>
      <c r="P1078" s="2" t="str">
        <f t="shared" si="19"/>
        <v>330535-RESERVA LEY 4a DE 1980-SUBCUENTA</v>
      </c>
      <c r="Q1078" t="s">
        <v>2917</v>
      </c>
    </row>
    <row r="1079" spans="13:17" x14ac:dyDescent="0.25">
      <c r="M1079" s="34">
        <v>330595</v>
      </c>
      <c r="N1079" s="2" t="s">
        <v>328</v>
      </c>
      <c r="O1079" s="2" t="s">
        <v>183</v>
      </c>
      <c r="P1079" s="2" t="str">
        <f t="shared" si="19"/>
        <v>330595-OTRAS-SUBCUENTA</v>
      </c>
      <c r="Q1079" t="s">
        <v>2918</v>
      </c>
    </row>
    <row r="1080" spans="13:17" x14ac:dyDescent="0.25">
      <c r="M1080" s="34">
        <v>3310</v>
      </c>
      <c r="N1080" s="2" t="s">
        <v>938</v>
      </c>
      <c r="O1080" s="2" t="s">
        <v>182</v>
      </c>
      <c r="P1080" s="2" t="str">
        <f t="shared" si="19"/>
        <v>3310-RESERVAS ESTATUTARIAS-CUENTA</v>
      </c>
      <c r="Q1080" t="s">
        <v>2919</v>
      </c>
    </row>
    <row r="1081" spans="13:17" x14ac:dyDescent="0.25">
      <c r="M1081" s="34">
        <v>331005</v>
      </c>
      <c r="N1081" s="2" t="s">
        <v>939</v>
      </c>
      <c r="O1081" s="2" t="s">
        <v>183</v>
      </c>
      <c r="P1081" s="2" t="str">
        <f t="shared" si="19"/>
        <v>331005-PARA FUTURAS CAPITALIZACIONES-SUBCUENTA</v>
      </c>
    </row>
    <row r="1082" spans="13:17" x14ac:dyDescent="0.25">
      <c r="M1082" s="34">
        <v>331010</v>
      </c>
      <c r="N1082" s="2" t="s">
        <v>940</v>
      </c>
      <c r="O1082" s="2" t="s">
        <v>183</v>
      </c>
      <c r="P1082" s="2" t="str">
        <f t="shared" si="19"/>
        <v>331010-PARA REPOSICION DE ACTIVOS-SUBCUENTA</v>
      </c>
    </row>
    <row r="1083" spans="13:17" x14ac:dyDescent="0.25">
      <c r="M1083" s="34">
        <v>331015</v>
      </c>
      <c r="N1083" s="2" t="s">
        <v>941</v>
      </c>
      <c r="O1083" s="2" t="s">
        <v>183</v>
      </c>
      <c r="P1083" s="2" t="str">
        <f t="shared" si="19"/>
        <v>331015-PARA FUTUROS ENSANCHES-SUBCUENTA</v>
      </c>
    </row>
    <row r="1084" spans="13:17" x14ac:dyDescent="0.25">
      <c r="M1084" s="34">
        <v>331095</v>
      </c>
      <c r="N1084" s="2" t="s">
        <v>328</v>
      </c>
      <c r="O1084" s="2" t="s">
        <v>183</v>
      </c>
      <c r="P1084" s="2" t="str">
        <f t="shared" si="19"/>
        <v>331095-OTRAS-SUBCUENTA</v>
      </c>
    </row>
    <row r="1085" spans="13:17" x14ac:dyDescent="0.25">
      <c r="M1085" s="34">
        <v>3315</v>
      </c>
      <c r="N1085" s="2" t="s">
        <v>942</v>
      </c>
      <c r="O1085" s="2" t="s">
        <v>182</v>
      </c>
      <c r="P1085" s="2" t="str">
        <f t="shared" si="19"/>
        <v>3315-RESERVAS OCASIONALES-CUENTA</v>
      </c>
    </row>
    <row r="1086" spans="13:17" x14ac:dyDescent="0.25">
      <c r="M1086" s="34">
        <v>331505</v>
      </c>
      <c r="N1086" s="2" t="s">
        <v>943</v>
      </c>
      <c r="O1086" s="2" t="s">
        <v>183</v>
      </c>
      <c r="P1086" s="2" t="str">
        <f t="shared" si="19"/>
        <v>331505-PARA BENEFICENCIA Y CIVISMO-SUBCUENTA</v>
      </c>
    </row>
    <row r="1087" spans="13:17" x14ac:dyDescent="0.25">
      <c r="M1087" s="34">
        <v>331510</v>
      </c>
      <c r="N1087" s="2" t="s">
        <v>939</v>
      </c>
      <c r="O1087" s="2" t="s">
        <v>183</v>
      </c>
      <c r="P1087" s="2" t="str">
        <f t="shared" si="19"/>
        <v>331510-PARA FUTURAS CAPITALIZACIONES-SUBCUENTA</v>
      </c>
    </row>
    <row r="1088" spans="13:17" x14ac:dyDescent="0.25">
      <c r="M1088" s="34">
        <v>331515</v>
      </c>
      <c r="N1088" s="2" t="s">
        <v>941</v>
      </c>
      <c r="O1088" s="2" t="s">
        <v>183</v>
      </c>
      <c r="P1088" s="2" t="str">
        <f t="shared" si="19"/>
        <v>331515-PARA FUTUROS ENSANCHES-SUBCUENTA</v>
      </c>
    </row>
    <row r="1089" spans="13:16" x14ac:dyDescent="0.25">
      <c r="M1089" s="34">
        <v>331520</v>
      </c>
      <c r="N1089" s="2" t="s">
        <v>944</v>
      </c>
      <c r="O1089" s="2" t="s">
        <v>183</v>
      </c>
      <c r="P1089" s="2" t="str">
        <f t="shared" si="19"/>
        <v>331520-PARA ADQUISICION O REPOSICION DE PROPIEDADES PLANTA Y EQUIPO-SUBCUENTA</v>
      </c>
    </row>
    <row r="1090" spans="13:16" x14ac:dyDescent="0.25">
      <c r="M1090" s="34">
        <v>331525</v>
      </c>
      <c r="N1090" s="2" t="s">
        <v>945</v>
      </c>
      <c r="O1090" s="2" t="s">
        <v>183</v>
      </c>
      <c r="P1090" s="2" t="str">
        <f t="shared" si="19"/>
        <v>331525-PARA INVESTIGACIONES Y DESARROLLO-SUBCUENTA</v>
      </c>
    </row>
    <row r="1091" spans="13:16" x14ac:dyDescent="0.25">
      <c r="M1091" s="34">
        <v>331530</v>
      </c>
      <c r="N1091" s="2" t="s">
        <v>946</v>
      </c>
      <c r="O1091" s="2" t="s">
        <v>183</v>
      </c>
      <c r="P1091" s="2" t="str">
        <f t="shared" si="19"/>
        <v>331530-PARA FOMENTO ECONOMICO-SUBCUENTA</v>
      </c>
    </row>
    <row r="1092" spans="13:16" x14ac:dyDescent="0.25">
      <c r="M1092" s="34">
        <v>331535</v>
      </c>
      <c r="N1092" s="2" t="s">
        <v>947</v>
      </c>
      <c r="O1092" s="2" t="s">
        <v>183</v>
      </c>
      <c r="P1092" s="2" t="str">
        <f t="shared" ref="P1092:P1155" si="20">IF(AND(M1092&lt;&gt;"",N1092&lt;&gt;"",O1092&lt;&gt;""),M1092&amp;"-"&amp;N1092&amp;"-"&amp;O1092,IF(AND(M1092="",N1092&lt;&gt;"",O1092&lt;&gt;""),N1092&amp;"-"&amp;O1092,IF(AND(M1092&lt;&gt;"",N1092="",O1092&lt;&gt;""),M1092&amp;"-"&amp;O1092,IF(AND(M1092&lt;&gt;"",N1092&lt;&gt;"",O1092=""),M1092&amp;"-"&amp;N1092,IF(AND(M1092&lt;&gt;"",N1092="",O1092=""),M1092,"")))))</f>
        <v>331535-PARA CAPITAL DE TRABAJO-SUBCUENTA</v>
      </c>
    </row>
    <row r="1093" spans="13:16" x14ac:dyDescent="0.25">
      <c r="M1093" s="34">
        <v>331540</v>
      </c>
      <c r="N1093" s="2" t="s">
        <v>948</v>
      </c>
      <c r="O1093" s="2" t="s">
        <v>183</v>
      </c>
      <c r="P1093" s="2" t="str">
        <f t="shared" si="20"/>
        <v>331540-PARA ESTABILIZACION DE RENDIMIENTOS-SUBCUENTA</v>
      </c>
    </row>
    <row r="1094" spans="13:16" x14ac:dyDescent="0.25">
      <c r="M1094" s="34">
        <v>331545</v>
      </c>
      <c r="N1094" s="2" t="s">
        <v>949</v>
      </c>
      <c r="O1094" s="2" t="s">
        <v>183</v>
      </c>
      <c r="P1094" s="2" t="str">
        <f t="shared" si="20"/>
        <v>331545-A DISPOSICION DEL MAXIMO ORGANO SOCIAL-SUBCUENTA</v>
      </c>
    </row>
    <row r="1095" spans="13:16" x14ac:dyDescent="0.25">
      <c r="M1095" s="34">
        <v>331595</v>
      </c>
      <c r="N1095" s="2" t="s">
        <v>328</v>
      </c>
      <c r="O1095" s="2" t="s">
        <v>183</v>
      </c>
      <c r="P1095" s="2" t="str">
        <f t="shared" si="20"/>
        <v>331595-OTRAS-SUBCUENTA</v>
      </c>
    </row>
    <row r="1096" spans="13:16" x14ac:dyDescent="0.25">
      <c r="M1096" s="34">
        <v>34</v>
      </c>
      <c r="N1096" s="2" t="s">
        <v>950</v>
      </c>
      <c r="O1096" s="2" t="s">
        <v>181</v>
      </c>
      <c r="P1096" s="2" t="str">
        <f t="shared" si="20"/>
        <v>34-REVALORIZACION DEL PATRIMONIO-GRUPO</v>
      </c>
    </row>
    <row r="1097" spans="13:16" x14ac:dyDescent="0.25">
      <c r="M1097" s="34">
        <v>3405</v>
      </c>
      <c r="N1097" s="2" t="s">
        <v>367</v>
      </c>
      <c r="O1097" s="2" t="s">
        <v>182</v>
      </c>
      <c r="P1097" s="2" t="str">
        <f t="shared" si="20"/>
        <v>3405-AJUSTES POR INFLACION-CUENTA</v>
      </c>
    </row>
    <row r="1098" spans="13:16" x14ac:dyDescent="0.25">
      <c r="M1098" s="34">
        <v>340505</v>
      </c>
      <c r="N1098" s="2" t="s">
        <v>951</v>
      </c>
      <c r="O1098" s="2" t="s">
        <v>183</v>
      </c>
      <c r="P1098" s="2" t="str">
        <f t="shared" si="20"/>
        <v>340505-DE CAPITAL SOCIAL-SUBCUENTA</v>
      </c>
    </row>
    <row r="1099" spans="13:16" x14ac:dyDescent="0.25">
      <c r="M1099" s="34">
        <v>340510</v>
      </c>
      <c r="N1099" s="2" t="s">
        <v>952</v>
      </c>
      <c r="O1099" s="2" t="s">
        <v>183</v>
      </c>
      <c r="P1099" s="2" t="str">
        <f t="shared" si="20"/>
        <v>340510-DE SUPERAVIT DE CAPITAL-SUBCUENTA</v>
      </c>
    </row>
    <row r="1100" spans="13:16" x14ac:dyDescent="0.25">
      <c r="M1100" s="34">
        <v>340515</v>
      </c>
      <c r="N1100" s="2" t="s">
        <v>953</v>
      </c>
      <c r="O1100" s="2" t="s">
        <v>183</v>
      </c>
      <c r="P1100" s="2" t="str">
        <f t="shared" si="20"/>
        <v>340515-DE RESERVAS-SUBCUENTA</v>
      </c>
    </row>
    <row r="1101" spans="13:16" x14ac:dyDescent="0.25">
      <c r="M1101" s="34">
        <v>340520</v>
      </c>
      <c r="N1101" s="2" t="s">
        <v>954</v>
      </c>
      <c r="O1101" s="2" t="s">
        <v>183</v>
      </c>
      <c r="P1101" s="2" t="str">
        <f t="shared" si="20"/>
        <v>340520-DE RESULTADOS DE EJERCICIOS ANTERIORES-SUBCUENTA</v>
      </c>
    </row>
    <row r="1102" spans="13:16" x14ac:dyDescent="0.25">
      <c r="M1102" s="34">
        <v>340525</v>
      </c>
      <c r="N1102" s="2" t="s">
        <v>955</v>
      </c>
      <c r="O1102" s="2" t="s">
        <v>183</v>
      </c>
      <c r="P1102" s="2" t="str">
        <f t="shared" si="20"/>
        <v>340525-DE ACTIVOS EN PERIODO IMPRODUCTIVO-SUBCUENTA</v>
      </c>
    </row>
    <row r="1103" spans="13:16" x14ac:dyDescent="0.25">
      <c r="M1103" s="34">
        <v>3410</v>
      </c>
      <c r="N1103" s="2" t="s">
        <v>956</v>
      </c>
      <c r="O1103" s="2" t="s">
        <v>182</v>
      </c>
      <c r="P1103" s="2" t="str">
        <f t="shared" si="20"/>
        <v>3410-SANEAMIENTO FISCAL-CUENTA</v>
      </c>
    </row>
    <row r="1104" spans="13:16" x14ac:dyDescent="0.25">
      <c r="M1104" s="34" t="s">
        <v>262</v>
      </c>
      <c r="N1104" s="2" t="s">
        <v>188</v>
      </c>
      <c r="O1104" s="2" t="s">
        <v>188</v>
      </c>
      <c r="P1104" s="2" t="str">
        <f t="shared" si="20"/>
        <v xml:space="preserve">341001 a 341098 </v>
      </c>
    </row>
    <row r="1105" spans="13:16" x14ac:dyDescent="0.25">
      <c r="M1105" s="34">
        <v>3415</v>
      </c>
      <c r="N1105" s="2" t="s">
        <v>957</v>
      </c>
      <c r="O1105" s="2" t="s">
        <v>182</v>
      </c>
      <c r="P1105" s="2" t="str">
        <f t="shared" si="20"/>
        <v>3415-AJUSTES POR INFLACION DECRETO 3019 DE 1989-CUENTA</v>
      </c>
    </row>
    <row r="1106" spans="13:16" x14ac:dyDescent="0.25">
      <c r="M1106" s="34" t="s">
        <v>263</v>
      </c>
      <c r="N1106" s="2" t="s">
        <v>188</v>
      </c>
      <c r="O1106" s="2" t="s">
        <v>188</v>
      </c>
      <c r="P1106" s="2" t="str">
        <f t="shared" si="20"/>
        <v xml:space="preserve">341501 a 341598 </v>
      </c>
    </row>
    <row r="1107" spans="13:16" x14ac:dyDescent="0.25">
      <c r="M1107" s="34">
        <v>35</v>
      </c>
      <c r="N1107" s="2" t="s">
        <v>958</v>
      </c>
      <c r="O1107" s="2" t="s">
        <v>181</v>
      </c>
      <c r="P1107" s="2" t="str">
        <f t="shared" si="20"/>
        <v>35-DIVIDENDOS O PARTICIPACIONES DECRETADOS EN ACCIONES, CUOTAS O PARTES DE INTERES SOCIAL-GRUPO</v>
      </c>
    </row>
    <row r="1108" spans="13:16" x14ac:dyDescent="0.25">
      <c r="M1108" s="34">
        <v>3505</v>
      </c>
      <c r="N1108" s="2" t="s">
        <v>959</v>
      </c>
      <c r="O1108" s="2" t="s">
        <v>182</v>
      </c>
      <c r="P1108" s="2" t="str">
        <f t="shared" si="20"/>
        <v>3505-DIVIDENDOS DECRETADOS EN ACCIONES-CUENTA</v>
      </c>
    </row>
    <row r="1109" spans="13:16" x14ac:dyDescent="0.25">
      <c r="M1109" s="34" t="s">
        <v>264</v>
      </c>
      <c r="N1109" s="2" t="s">
        <v>188</v>
      </c>
      <c r="O1109" s="2" t="s">
        <v>188</v>
      </c>
      <c r="P1109" s="2" t="str">
        <f t="shared" si="20"/>
        <v xml:space="preserve">350501 a 350598 </v>
      </c>
    </row>
    <row r="1110" spans="13:16" x14ac:dyDescent="0.25">
      <c r="M1110" s="34">
        <v>3510</v>
      </c>
      <c r="N1110" s="2" t="s">
        <v>960</v>
      </c>
      <c r="O1110" s="2" t="s">
        <v>182</v>
      </c>
      <c r="P1110" s="2" t="str">
        <f t="shared" si="20"/>
        <v>3510-PARTICIPACIONES DECRETADAS EN CUOTAS O PARTES DE INTERES SOCIAL-CUENTA</v>
      </c>
    </row>
    <row r="1111" spans="13:16" x14ac:dyDescent="0.25">
      <c r="M1111" s="34" t="s">
        <v>265</v>
      </c>
      <c r="N1111" s="2" t="s">
        <v>188</v>
      </c>
      <c r="O1111" s="2" t="s">
        <v>188</v>
      </c>
      <c r="P1111" s="2" t="str">
        <f t="shared" si="20"/>
        <v xml:space="preserve">351001 a 351098 </v>
      </c>
    </row>
    <row r="1112" spans="13:16" x14ac:dyDescent="0.25">
      <c r="M1112" s="34">
        <v>36</v>
      </c>
      <c r="N1112" s="2" t="s">
        <v>961</v>
      </c>
      <c r="O1112" s="2" t="s">
        <v>181</v>
      </c>
      <c r="P1112" s="2" t="str">
        <f t="shared" si="20"/>
        <v>36-RESULTADOS DEL EJERCICIO-GRUPO</v>
      </c>
    </row>
    <row r="1113" spans="13:16" x14ac:dyDescent="0.25">
      <c r="M1113" s="34">
        <v>3605</v>
      </c>
      <c r="N1113" s="2" t="s">
        <v>962</v>
      </c>
      <c r="O1113" s="2" t="s">
        <v>182</v>
      </c>
      <c r="P1113" s="2" t="str">
        <f t="shared" si="20"/>
        <v>3605-UTILIDAD DEL EJERCICIO-CUENTA</v>
      </c>
    </row>
    <row r="1114" spans="13:16" x14ac:dyDescent="0.25">
      <c r="M1114" s="34">
        <v>360505</v>
      </c>
      <c r="N1114" s="2" t="s">
        <v>962</v>
      </c>
      <c r="O1114" s="2" t="s">
        <v>183</v>
      </c>
      <c r="P1114" s="2" t="str">
        <f t="shared" si="20"/>
        <v>360505-UTILIDAD DEL EJERCICIO-SUBCUENTA</v>
      </c>
    </row>
    <row r="1115" spans="13:16" x14ac:dyDescent="0.25">
      <c r="M1115" s="34">
        <v>360510</v>
      </c>
      <c r="N1115" s="2" t="s">
        <v>963</v>
      </c>
      <c r="O1115" s="2" t="s">
        <v>183</v>
      </c>
      <c r="P1115" s="2" t="str">
        <f t="shared" si="20"/>
        <v>360510-UTILIDAD POR EXPOSICION A LA INFLACION-SUBCUENTA</v>
      </c>
    </row>
    <row r="1116" spans="13:16" x14ac:dyDescent="0.25">
      <c r="M1116" s="34">
        <v>3610</v>
      </c>
      <c r="N1116" s="2" t="s">
        <v>964</v>
      </c>
      <c r="O1116" s="2" t="s">
        <v>182</v>
      </c>
      <c r="P1116" s="2" t="str">
        <f t="shared" si="20"/>
        <v>3610-PERDIDA DEL EJERCICIO-CUENTA</v>
      </c>
    </row>
    <row r="1117" spans="13:16" x14ac:dyDescent="0.25">
      <c r="M1117" s="34">
        <v>361005</v>
      </c>
      <c r="N1117" s="2" t="s">
        <v>964</v>
      </c>
      <c r="O1117" s="2" t="s">
        <v>183</v>
      </c>
      <c r="P1117" s="2" t="str">
        <f t="shared" si="20"/>
        <v>361005-PERDIDA DEL EJERCICIO-SUBCUENTA</v>
      </c>
    </row>
    <row r="1118" spans="13:16" x14ac:dyDescent="0.25">
      <c r="M1118" s="34">
        <v>361010</v>
      </c>
      <c r="N1118" s="2" t="s">
        <v>965</v>
      </c>
      <c r="O1118" s="2" t="s">
        <v>183</v>
      </c>
      <c r="P1118" s="2" t="str">
        <f t="shared" si="20"/>
        <v>361010-PERDIDA POR EXPOSICION A LA INFLACION-SUBCUENTA</v>
      </c>
    </row>
    <row r="1119" spans="13:16" x14ac:dyDescent="0.25">
      <c r="M1119" s="34">
        <v>37</v>
      </c>
      <c r="N1119" s="2" t="s">
        <v>966</v>
      </c>
      <c r="O1119" s="2" t="s">
        <v>181</v>
      </c>
      <c r="P1119" s="2" t="str">
        <f t="shared" si="20"/>
        <v>37-RESULTADOS DE EJERCICIOS ANTERIORES-GRUPO</v>
      </c>
    </row>
    <row r="1120" spans="13:16" x14ac:dyDescent="0.25">
      <c r="M1120" s="34">
        <v>3705</v>
      </c>
      <c r="N1120" s="2" t="s">
        <v>967</v>
      </c>
      <c r="O1120" s="2" t="s">
        <v>182</v>
      </c>
      <c r="P1120" s="2" t="str">
        <f t="shared" si="20"/>
        <v>3705-UTILIDADES O EXCEDENTES ACUMULADOS-CUENTA</v>
      </c>
    </row>
    <row r="1121" spans="13:16" x14ac:dyDescent="0.25">
      <c r="M1121" s="34" t="s">
        <v>266</v>
      </c>
      <c r="N1121" s="2" t="s">
        <v>188</v>
      </c>
      <c r="O1121" s="2" t="s">
        <v>188</v>
      </c>
      <c r="P1121" s="2" t="str">
        <f t="shared" si="20"/>
        <v xml:space="preserve">370501 a 370598 </v>
      </c>
    </row>
    <row r="1122" spans="13:16" x14ac:dyDescent="0.25">
      <c r="M1122" s="34">
        <v>3710</v>
      </c>
      <c r="N1122" s="2" t="s">
        <v>968</v>
      </c>
      <c r="O1122" s="2" t="s">
        <v>182</v>
      </c>
      <c r="P1122" s="2" t="str">
        <f t="shared" si="20"/>
        <v>3710-PERDIDAS ACUMULADAS-CUENTA</v>
      </c>
    </row>
    <row r="1123" spans="13:16" x14ac:dyDescent="0.25">
      <c r="M1123" s="34" t="s">
        <v>267</v>
      </c>
      <c r="N1123" s="2" t="s">
        <v>188</v>
      </c>
      <c r="O1123" s="2" t="s">
        <v>188</v>
      </c>
      <c r="P1123" s="2" t="str">
        <f t="shared" si="20"/>
        <v xml:space="preserve">371001 a 371098 </v>
      </c>
    </row>
    <row r="1124" spans="13:16" x14ac:dyDescent="0.25">
      <c r="M1124" s="34">
        <v>38</v>
      </c>
      <c r="N1124" s="2" t="s">
        <v>969</v>
      </c>
      <c r="O1124" s="2" t="s">
        <v>181</v>
      </c>
      <c r="P1124" s="2" t="str">
        <f t="shared" si="20"/>
        <v>38-SUPERAVIT POR VALORIZACIONES-GRUPO</v>
      </c>
    </row>
    <row r="1125" spans="13:16" x14ac:dyDescent="0.25">
      <c r="M1125" s="34">
        <v>3805</v>
      </c>
      <c r="N1125" s="2" t="s">
        <v>701</v>
      </c>
      <c r="O1125" s="2" t="s">
        <v>182</v>
      </c>
      <c r="P1125" s="2" t="str">
        <f t="shared" si="20"/>
        <v>3805-DE INVERSIONES-CUENTA</v>
      </c>
    </row>
    <row r="1126" spans="13:16" x14ac:dyDescent="0.25">
      <c r="M1126" s="34">
        <v>380505</v>
      </c>
      <c r="N1126" s="2" t="s">
        <v>320</v>
      </c>
      <c r="O1126" s="2" t="s">
        <v>183</v>
      </c>
      <c r="P1126" s="2" t="str">
        <f t="shared" si="20"/>
        <v>380505-ACCIONES-SUBCUENTA</v>
      </c>
    </row>
    <row r="1127" spans="13:16" x14ac:dyDescent="0.25">
      <c r="M1127" s="34">
        <v>380510</v>
      </c>
      <c r="N1127" s="2" t="s">
        <v>321</v>
      </c>
      <c r="O1127" s="2" t="s">
        <v>183</v>
      </c>
      <c r="P1127" s="2" t="str">
        <f t="shared" si="20"/>
        <v>380510-CUOTAS O PARTES DE INTERES SOCIAL-SUBCUENTA</v>
      </c>
    </row>
    <row r="1128" spans="13:16" x14ac:dyDescent="0.25">
      <c r="M1128" s="34">
        <v>380515</v>
      </c>
      <c r="N1128" s="2" t="s">
        <v>362</v>
      </c>
      <c r="O1128" s="2" t="s">
        <v>183</v>
      </c>
      <c r="P1128" s="2" t="str">
        <f t="shared" si="20"/>
        <v>380515-DERECHOS FIDUCIARIOS-SUBCUENTA</v>
      </c>
    </row>
    <row r="1129" spans="13:16" x14ac:dyDescent="0.25">
      <c r="M1129" s="34">
        <v>3810</v>
      </c>
      <c r="N1129" s="2" t="s">
        <v>702</v>
      </c>
      <c r="O1129" s="2" t="s">
        <v>182</v>
      </c>
      <c r="P1129" s="2" t="str">
        <f t="shared" si="20"/>
        <v>3810-DE PROPIEDADES PLANTA Y EQUIPO-CUENTA</v>
      </c>
    </row>
    <row r="1130" spans="13:16" x14ac:dyDescent="0.25">
      <c r="M1130" s="34">
        <v>381004</v>
      </c>
      <c r="N1130" s="2" t="s">
        <v>490</v>
      </c>
      <c r="O1130" s="2" t="s">
        <v>183</v>
      </c>
      <c r="P1130" s="2" t="str">
        <f t="shared" si="20"/>
        <v>381004-TERRENOS-SUBCUENTA</v>
      </c>
    </row>
    <row r="1131" spans="13:16" x14ac:dyDescent="0.25">
      <c r="M1131" s="34">
        <v>381006</v>
      </c>
      <c r="N1131" s="2" t="s">
        <v>515</v>
      </c>
      <c r="O1131" s="2" t="s">
        <v>183</v>
      </c>
      <c r="P1131" s="2" t="str">
        <f t="shared" si="20"/>
        <v>381006-MATERIALES PROYECTOS PETROLEROS-SUBCUENTA</v>
      </c>
    </row>
    <row r="1132" spans="13:16" x14ac:dyDescent="0.25">
      <c r="M1132" s="34">
        <v>381008</v>
      </c>
      <c r="N1132" s="2" t="s">
        <v>520</v>
      </c>
      <c r="O1132" s="2" t="s">
        <v>183</v>
      </c>
      <c r="P1132" s="2" t="str">
        <f t="shared" si="20"/>
        <v>381008-CONSTRUCCIONES Y EDIFICACIONES-SUBCUENTA</v>
      </c>
    </row>
    <row r="1133" spans="13:16" x14ac:dyDescent="0.25">
      <c r="M1133" s="34">
        <v>381012</v>
      </c>
      <c r="N1133" s="2" t="s">
        <v>527</v>
      </c>
      <c r="O1133" s="2" t="s">
        <v>183</v>
      </c>
      <c r="P1133" s="2" t="str">
        <f t="shared" si="20"/>
        <v>381012-MAQUINARIA Y EQUIPO-SUBCUENTA</v>
      </c>
    </row>
    <row r="1134" spans="13:16" x14ac:dyDescent="0.25">
      <c r="M1134" s="34">
        <v>381016</v>
      </c>
      <c r="N1134" s="2" t="s">
        <v>528</v>
      </c>
      <c r="O1134" s="2" t="s">
        <v>183</v>
      </c>
      <c r="P1134" s="2" t="str">
        <f t="shared" si="20"/>
        <v>381016-EQUIPO DE OFICINA-SUBCUENTA</v>
      </c>
    </row>
    <row r="1135" spans="13:16" x14ac:dyDescent="0.25">
      <c r="M1135" s="34">
        <v>381020</v>
      </c>
      <c r="N1135" s="2" t="s">
        <v>529</v>
      </c>
      <c r="O1135" s="2" t="s">
        <v>183</v>
      </c>
      <c r="P1135" s="2" t="str">
        <f t="shared" si="20"/>
        <v>381020-EQUIPO DE COMPUTACION Y COMUNICACION-SUBCUENTA</v>
      </c>
    </row>
    <row r="1136" spans="13:16" x14ac:dyDescent="0.25">
      <c r="M1136" s="34">
        <v>381024</v>
      </c>
      <c r="N1136" s="2" t="s">
        <v>629</v>
      </c>
      <c r="O1136" s="2" t="s">
        <v>183</v>
      </c>
      <c r="P1136" s="2" t="str">
        <f t="shared" si="20"/>
        <v>381024-EQUIPO MEDICO CIENTIFICO-SUBCUENTA</v>
      </c>
    </row>
    <row r="1137" spans="13:16" x14ac:dyDescent="0.25">
      <c r="M1137" s="34">
        <v>381028</v>
      </c>
      <c r="N1137" s="2" t="s">
        <v>531</v>
      </c>
      <c r="O1137" s="2" t="s">
        <v>183</v>
      </c>
      <c r="P1137" s="2" t="str">
        <f t="shared" si="20"/>
        <v>381028-EQUIPO DE HOTELES Y RESTAURANTES-SUBCUENTA</v>
      </c>
    </row>
    <row r="1138" spans="13:16" x14ac:dyDescent="0.25">
      <c r="M1138" s="34">
        <v>381032</v>
      </c>
      <c r="N1138" s="2" t="s">
        <v>532</v>
      </c>
      <c r="O1138" s="2" t="s">
        <v>183</v>
      </c>
      <c r="P1138" s="2" t="str">
        <f t="shared" si="20"/>
        <v>381032-FLOTA Y EQUIPO DE TRANSPORTE-SUBCUENTA</v>
      </c>
    </row>
    <row r="1139" spans="13:16" x14ac:dyDescent="0.25">
      <c r="M1139" s="34">
        <v>381036</v>
      </c>
      <c r="N1139" s="2" t="s">
        <v>533</v>
      </c>
      <c r="O1139" s="2" t="s">
        <v>183</v>
      </c>
      <c r="P1139" s="2" t="str">
        <f t="shared" si="20"/>
        <v>381036-FLOTA Y EQUIPO FLUVIAL Y/O MARITIMO-SUBCUENTA</v>
      </c>
    </row>
    <row r="1140" spans="13:16" x14ac:dyDescent="0.25">
      <c r="M1140" s="34">
        <v>381040</v>
      </c>
      <c r="N1140" s="2" t="s">
        <v>534</v>
      </c>
      <c r="O1140" s="2" t="s">
        <v>183</v>
      </c>
      <c r="P1140" s="2" t="str">
        <f t="shared" si="20"/>
        <v>381040-FLOTA Y EQUIPO AEREO-SUBCUENTA</v>
      </c>
    </row>
    <row r="1141" spans="13:16" x14ac:dyDescent="0.25">
      <c r="M1141" s="34">
        <v>381044</v>
      </c>
      <c r="N1141" s="2" t="s">
        <v>535</v>
      </c>
      <c r="O1141" s="2" t="s">
        <v>183</v>
      </c>
      <c r="P1141" s="2" t="str">
        <f t="shared" si="20"/>
        <v>381044-FLOTA Y EQUIPO FERREO-SUBCUENTA</v>
      </c>
    </row>
    <row r="1142" spans="13:16" x14ac:dyDescent="0.25">
      <c r="M1142" s="34">
        <v>381048</v>
      </c>
      <c r="N1142" s="2" t="s">
        <v>521</v>
      </c>
      <c r="O1142" s="2" t="s">
        <v>183</v>
      </c>
      <c r="P1142" s="2" t="str">
        <f t="shared" si="20"/>
        <v>381048-ACUEDUCTOS PLANTAS Y REDES-SUBCUENTA</v>
      </c>
    </row>
    <row r="1143" spans="13:16" x14ac:dyDescent="0.25">
      <c r="M1143" s="34">
        <v>381052</v>
      </c>
      <c r="N1143" s="2" t="s">
        <v>616</v>
      </c>
      <c r="O1143" s="2" t="s">
        <v>183</v>
      </c>
      <c r="P1143" s="2" t="str">
        <f t="shared" si="20"/>
        <v>381052-ARMAMENTO DE VIGILANCIA-SUBCUENTA</v>
      </c>
    </row>
    <row r="1144" spans="13:16" x14ac:dyDescent="0.25">
      <c r="M1144" s="34">
        <v>381056</v>
      </c>
      <c r="N1144" s="2" t="s">
        <v>506</v>
      </c>
      <c r="O1144" s="2" t="s">
        <v>183</v>
      </c>
      <c r="P1144" s="2" t="str">
        <f t="shared" si="20"/>
        <v>381056-ENVASES Y EMPAQUES-SUBCUENTA</v>
      </c>
    </row>
    <row r="1145" spans="13:16" x14ac:dyDescent="0.25">
      <c r="M1145" s="34">
        <v>381060</v>
      </c>
      <c r="N1145" s="2" t="s">
        <v>617</v>
      </c>
      <c r="O1145" s="2" t="s">
        <v>183</v>
      </c>
      <c r="P1145" s="2" t="str">
        <f t="shared" si="20"/>
        <v>381060-PLANTACIONES AGRICOLAS Y FORESTALES-SUBCUENTA</v>
      </c>
    </row>
    <row r="1146" spans="13:16" x14ac:dyDescent="0.25">
      <c r="M1146" s="34">
        <v>381064</v>
      </c>
      <c r="N1146" s="2" t="s">
        <v>522</v>
      </c>
      <c r="O1146" s="2" t="s">
        <v>183</v>
      </c>
      <c r="P1146" s="2" t="str">
        <f t="shared" si="20"/>
        <v>381064-VIAS DE COMUNICACION-SUBCUENTA</v>
      </c>
    </row>
    <row r="1147" spans="13:16" x14ac:dyDescent="0.25">
      <c r="M1147" s="34">
        <v>381068</v>
      </c>
      <c r="N1147" s="2" t="s">
        <v>624</v>
      </c>
      <c r="O1147" s="2" t="s">
        <v>183</v>
      </c>
      <c r="P1147" s="2" t="str">
        <f t="shared" si="20"/>
        <v>381068-MINAS Y CANTERAS-SUBCUENTA</v>
      </c>
    </row>
    <row r="1148" spans="13:16" x14ac:dyDescent="0.25">
      <c r="M1148" s="34">
        <v>381072</v>
      </c>
      <c r="N1148" s="2" t="s">
        <v>523</v>
      </c>
      <c r="O1148" s="2" t="s">
        <v>183</v>
      </c>
      <c r="P1148" s="2" t="str">
        <f t="shared" si="20"/>
        <v>381072-POZOS ARTESIANOS-SUBCUENTA</v>
      </c>
    </row>
    <row r="1149" spans="13:16" x14ac:dyDescent="0.25">
      <c r="M1149" s="34">
        <v>381076</v>
      </c>
      <c r="N1149" s="2" t="s">
        <v>627</v>
      </c>
      <c r="O1149" s="2" t="s">
        <v>183</v>
      </c>
      <c r="P1149" s="2" t="str">
        <f t="shared" si="20"/>
        <v>381076-YACIMIENTOS-SUBCUENTA</v>
      </c>
    </row>
    <row r="1150" spans="13:16" x14ac:dyDescent="0.25">
      <c r="M1150" s="34">
        <v>381080</v>
      </c>
      <c r="N1150" s="2" t="s">
        <v>487</v>
      </c>
      <c r="O1150" s="2" t="s">
        <v>183</v>
      </c>
      <c r="P1150" s="2" t="str">
        <f t="shared" si="20"/>
        <v>381080-SEMOVIENTES-SUBCUENTA</v>
      </c>
    </row>
    <row r="1151" spans="13:16" x14ac:dyDescent="0.25">
      <c r="M1151" s="34">
        <v>3895</v>
      </c>
      <c r="N1151" s="2" t="s">
        <v>703</v>
      </c>
      <c r="O1151" s="2" t="s">
        <v>182</v>
      </c>
      <c r="P1151" s="2" t="str">
        <f t="shared" si="20"/>
        <v>3895-DE OTROS ACTIVOS-CUENTA</v>
      </c>
    </row>
    <row r="1152" spans="13:16" x14ac:dyDescent="0.25">
      <c r="M1152" s="34">
        <v>389505</v>
      </c>
      <c r="N1152" s="2" t="s">
        <v>690</v>
      </c>
      <c r="O1152" s="2" t="s">
        <v>183</v>
      </c>
      <c r="P1152" s="2" t="str">
        <f t="shared" si="20"/>
        <v>389505-BIENES DE ARTE Y CULTURA-SUBCUENTA</v>
      </c>
    </row>
    <row r="1153" spans="13:16" x14ac:dyDescent="0.25">
      <c r="M1153" s="34">
        <v>389510</v>
      </c>
      <c r="N1153" s="2" t="s">
        <v>695</v>
      </c>
      <c r="O1153" s="2" t="s">
        <v>183</v>
      </c>
      <c r="P1153" s="2" t="str">
        <f t="shared" si="20"/>
        <v>389510-BIENES ENTREGADOS EN COMODATO-SUBCUENTA</v>
      </c>
    </row>
    <row r="1154" spans="13:16" x14ac:dyDescent="0.25">
      <c r="M1154" s="34">
        <v>389515</v>
      </c>
      <c r="N1154" s="2" t="s">
        <v>697</v>
      </c>
      <c r="O1154" s="2" t="s">
        <v>183</v>
      </c>
      <c r="P1154" s="2" t="str">
        <f t="shared" si="20"/>
        <v>389515-BIENES RECIBIDOS EN PAGO-SUBCUENTA</v>
      </c>
    </row>
    <row r="1155" spans="13:16" x14ac:dyDescent="0.25">
      <c r="M1155" s="34">
        <v>389520</v>
      </c>
      <c r="N1155" s="2" t="s">
        <v>704</v>
      </c>
      <c r="O1155" s="2" t="s">
        <v>183</v>
      </c>
      <c r="P1155" s="2" t="str">
        <f t="shared" si="20"/>
        <v>389520-INVENTARIO DE SEMOVIENTES-SUBCUENTA</v>
      </c>
    </row>
    <row r="1156" spans="13:16" x14ac:dyDescent="0.25">
      <c r="M1156" s="34">
        <v>4</v>
      </c>
      <c r="N1156" s="2" t="s">
        <v>970</v>
      </c>
      <c r="O1156" s="2" t="s">
        <v>180</v>
      </c>
      <c r="P1156" s="2" t="str">
        <f t="shared" ref="P1156:P1219" si="21">IF(AND(M1156&lt;&gt;"",N1156&lt;&gt;"",O1156&lt;&gt;""),M1156&amp;"-"&amp;N1156&amp;"-"&amp;O1156,IF(AND(M1156="",N1156&lt;&gt;"",O1156&lt;&gt;""),N1156&amp;"-"&amp;O1156,IF(AND(M1156&lt;&gt;"",N1156="",O1156&lt;&gt;""),M1156&amp;"-"&amp;O1156,IF(AND(M1156&lt;&gt;"",N1156&lt;&gt;"",O1156=""),M1156&amp;"-"&amp;N1156,IF(AND(M1156&lt;&gt;"",N1156="",O1156=""),M1156,"")))))</f>
        <v>4-INGRESOS-CLASE</v>
      </c>
    </row>
    <row r="1157" spans="13:16" x14ac:dyDescent="0.25">
      <c r="M1157" s="34">
        <v>41</v>
      </c>
      <c r="N1157" s="2" t="s">
        <v>971</v>
      </c>
      <c r="O1157" s="2" t="s">
        <v>181</v>
      </c>
      <c r="P1157" s="2" t="str">
        <f t="shared" si="21"/>
        <v>41-OPERACIONALES-GRUPO</v>
      </c>
    </row>
    <row r="1158" spans="13:16" x14ac:dyDescent="0.25">
      <c r="M1158" s="34">
        <v>4105</v>
      </c>
      <c r="N1158" s="2" t="s">
        <v>972</v>
      </c>
      <c r="O1158" s="2" t="s">
        <v>182</v>
      </c>
      <c r="P1158" s="2" t="str">
        <f t="shared" si="21"/>
        <v>4105-AGRICULTURA, GANADERIA, CAZA Y SILVICULTURA-CUENTA</v>
      </c>
    </row>
    <row r="1159" spans="13:16" x14ac:dyDescent="0.25">
      <c r="M1159" s="34">
        <v>410505</v>
      </c>
      <c r="N1159" s="2" t="s">
        <v>973</v>
      </c>
      <c r="O1159" s="2" t="s">
        <v>183</v>
      </c>
      <c r="P1159" s="2" t="str">
        <f t="shared" si="21"/>
        <v>410505-CULTIVO DE CEREALES-SUBCUENTA</v>
      </c>
    </row>
    <row r="1160" spans="13:16" x14ac:dyDescent="0.25">
      <c r="M1160" s="34">
        <v>410510</v>
      </c>
      <c r="N1160" s="2" t="s">
        <v>974</v>
      </c>
      <c r="O1160" s="2" t="s">
        <v>183</v>
      </c>
      <c r="P1160" s="2" t="str">
        <f t="shared" si="21"/>
        <v>410510-CULTIVOS DE HORTALIZAS, LEGUMBRES Y PLANTAS ORNAMENTALES-SUBCUENTA</v>
      </c>
    </row>
    <row r="1161" spans="13:16" x14ac:dyDescent="0.25">
      <c r="M1161" s="34">
        <v>410515</v>
      </c>
      <c r="N1161" s="2" t="s">
        <v>975</v>
      </c>
      <c r="O1161" s="2" t="s">
        <v>183</v>
      </c>
      <c r="P1161" s="2" t="str">
        <f t="shared" si="21"/>
        <v>410515-CULTIVOS DE FRUTAS, NUECES Y PLANTAS AROMATICAS-SUBCUENTA</v>
      </c>
    </row>
    <row r="1162" spans="13:16" x14ac:dyDescent="0.25">
      <c r="M1162" s="34">
        <v>410520</v>
      </c>
      <c r="N1162" s="2" t="s">
        <v>976</v>
      </c>
      <c r="O1162" s="2" t="s">
        <v>183</v>
      </c>
      <c r="P1162" s="2" t="str">
        <f t="shared" si="21"/>
        <v>410520-CULTIVO DE CAFE-SUBCUENTA</v>
      </c>
    </row>
    <row r="1163" spans="13:16" x14ac:dyDescent="0.25">
      <c r="M1163" s="34">
        <v>410525</v>
      </c>
      <c r="N1163" s="2" t="s">
        <v>977</v>
      </c>
      <c r="O1163" s="2" t="s">
        <v>183</v>
      </c>
      <c r="P1163" s="2" t="str">
        <f t="shared" si="21"/>
        <v>410525-CULTIVO DE FLORES-SUBCUENTA</v>
      </c>
    </row>
    <row r="1164" spans="13:16" x14ac:dyDescent="0.25">
      <c r="M1164" s="34">
        <v>410530</v>
      </c>
      <c r="N1164" s="2" t="s">
        <v>978</v>
      </c>
      <c r="O1164" s="2" t="s">
        <v>183</v>
      </c>
      <c r="P1164" s="2" t="str">
        <f t="shared" si="21"/>
        <v>410530-CULTIVO DE CAÑA DE AZUCAR-SUBCUENTA</v>
      </c>
    </row>
    <row r="1165" spans="13:16" x14ac:dyDescent="0.25">
      <c r="M1165" s="34">
        <v>410535</v>
      </c>
      <c r="N1165" s="2" t="s">
        <v>979</v>
      </c>
      <c r="O1165" s="2" t="s">
        <v>183</v>
      </c>
      <c r="P1165" s="2" t="str">
        <f t="shared" si="21"/>
        <v>410535-CULTIVO DE ALGODON Y PLANTAS PARA MATERIAL TEXTIL-SUBCUENTA</v>
      </c>
    </row>
    <row r="1166" spans="13:16" x14ac:dyDescent="0.25">
      <c r="M1166" s="34">
        <v>410540</v>
      </c>
      <c r="N1166" s="2" t="s">
        <v>980</v>
      </c>
      <c r="O1166" s="2" t="s">
        <v>183</v>
      </c>
      <c r="P1166" s="2" t="str">
        <f t="shared" si="21"/>
        <v>410540-CULTIVO DE BANANO-SUBCUENTA</v>
      </c>
    </row>
    <row r="1167" spans="13:16" x14ac:dyDescent="0.25">
      <c r="M1167" s="34">
        <v>410545</v>
      </c>
      <c r="N1167" s="2" t="s">
        <v>981</v>
      </c>
      <c r="O1167" s="2" t="s">
        <v>183</v>
      </c>
      <c r="P1167" s="2" t="str">
        <f t="shared" si="21"/>
        <v>410545-OTROS CULTIVOS AGRICOLAS-SUBCUENTA</v>
      </c>
    </row>
    <row r="1168" spans="13:16" x14ac:dyDescent="0.25">
      <c r="M1168" s="34">
        <v>410550</v>
      </c>
      <c r="N1168" s="2" t="s">
        <v>982</v>
      </c>
      <c r="O1168" s="2" t="s">
        <v>183</v>
      </c>
      <c r="P1168" s="2" t="str">
        <f t="shared" si="21"/>
        <v>410550-CRIA DE OVEJAS, CABRAS, ASNOS, MULAS Y BURDEGANOS-SUBCUENTA</v>
      </c>
    </row>
    <row r="1169" spans="13:16" x14ac:dyDescent="0.25">
      <c r="M1169" s="34">
        <v>410555</v>
      </c>
      <c r="N1169" s="2" t="s">
        <v>983</v>
      </c>
      <c r="O1169" s="2" t="s">
        <v>183</v>
      </c>
      <c r="P1169" s="2" t="str">
        <f t="shared" si="21"/>
        <v>410555-CRIA DE GANADO CABALLAR Y VACUNO.-SUBCUENTA</v>
      </c>
    </row>
    <row r="1170" spans="13:16" x14ac:dyDescent="0.25">
      <c r="M1170" s="34">
        <v>410560</v>
      </c>
      <c r="N1170" s="2" t="s">
        <v>984</v>
      </c>
      <c r="O1170" s="2" t="s">
        <v>183</v>
      </c>
      <c r="P1170" s="2" t="str">
        <f t="shared" si="21"/>
        <v>410560-PRODUCCION AVICOLA-SUBCUENTA</v>
      </c>
    </row>
    <row r="1171" spans="13:16" x14ac:dyDescent="0.25">
      <c r="M1171" s="34">
        <v>410565</v>
      </c>
      <c r="N1171" s="2" t="s">
        <v>985</v>
      </c>
      <c r="O1171" s="2" t="s">
        <v>183</v>
      </c>
      <c r="P1171" s="2" t="str">
        <f t="shared" si="21"/>
        <v>410565-CRIA DE OTROS ANIMALES-SUBCUENTA</v>
      </c>
    </row>
    <row r="1172" spans="13:16" x14ac:dyDescent="0.25">
      <c r="M1172" s="34">
        <v>410570</v>
      </c>
      <c r="N1172" s="2" t="s">
        <v>986</v>
      </c>
      <c r="O1172" s="2" t="s">
        <v>183</v>
      </c>
      <c r="P1172" s="2" t="str">
        <f t="shared" si="21"/>
        <v>410570-SERVICIOS AGRICOLAS Y GANADEROS-SUBCUENTA</v>
      </c>
    </row>
    <row r="1173" spans="13:16" x14ac:dyDescent="0.25">
      <c r="M1173" s="34">
        <v>410575</v>
      </c>
      <c r="N1173" s="2" t="s">
        <v>987</v>
      </c>
      <c r="O1173" s="2" t="s">
        <v>183</v>
      </c>
      <c r="P1173" s="2" t="str">
        <f t="shared" si="21"/>
        <v>410575-ACTIVIDAD DE CAZA-SUBCUENTA</v>
      </c>
    </row>
    <row r="1174" spans="13:16" x14ac:dyDescent="0.25">
      <c r="M1174" s="34">
        <v>410580</v>
      </c>
      <c r="N1174" s="2" t="s">
        <v>988</v>
      </c>
      <c r="O1174" s="2" t="s">
        <v>183</v>
      </c>
      <c r="P1174" s="2" t="str">
        <f t="shared" si="21"/>
        <v>410580-ACTIVIDAD DE SILVICULTURA-SUBCUENTA</v>
      </c>
    </row>
    <row r="1175" spans="13:16" x14ac:dyDescent="0.25">
      <c r="M1175" s="34">
        <v>410599</v>
      </c>
      <c r="N1175" s="2" t="s">
        <v>367</v>
      </c>
      <c r="O1175" s="2" t="s">
        <v>183</v>
      </c>
      <c r="P1175" s="2" t="str">
        <f t="shared" si="21"/>
        <v>410599-AJUSTES POR INFLACION-SUBCUENTA</v>
      </c>
    </row>
    <row r="1176" spans="13:16" x14ac:dyDescent="0.25">
      <c r="M1176" s="34">
        <v>4110</v>
      </c>
      <c r="N1176" s="2" t="s">
        <v>989</v>
      </c>
      <c r="O1176" s="2" t="s">
        <v>182</v>
      </c>
      <c r="P1176" s="2" t="str">
        <f t="shared" si="21"/>
        <v>4110-PESCA-CUENTA</v>
      </c>
    </row>
    <row r="1177" spans="13:16" x14ac:dyDescent="0.25">
      <c r="M1177" s="34">
        <v>411005</v>
      </c>
      <c r="N1177" s="2" t="s">
        <v>990</v>
      </c>
      <c r="O1177" s="2" t="s">
        <v>183</v>
      </c>
      <c r="P1177" s="2" t="str">
        <f t="shared" si="21"/>
        <v>411005-ACTIVIDAD DE PESCA-SUBCUENTA</v>
      </c>
    </row>
    <row r="1178" spans="13:16" x14ac:dyDescent="0.25">
      <c r="M1178" s="34">
        <v>411010</v>
      </c>
      <c r="N1178" s="2" t="s">
        <v>991</v>
      </c>
      <c r="O1178" s="2" t="s">
        <v>183</v>
      </c>
      <c r="P1178" s="2" t="str">
        <f t="shared" si="21"/>
        <v>411010-EXPLOTACION DE CRIADEROS DE PECES-SUBCUENTA</v>
      </c>
    </row>
    <row r="1179" spans="13:16" x14ac:dyDescent="0.25">
      <c r="M1179" s="34">
        <v>411095</v>
      </c>
      <c r="N1179" s="2" t="s">
        <v>992</v>
      </c>
      <c r="O1179" s="2" t="s">
        <v>183</v>
      </c>
      <c r="P1179" s="2" t="str">
        <f t="shared" si="21"/>
        <v>411095-ACTIVIDADES CONEXAS-SUBCUENTA</v>
      </c>
    </row>
    <row r="1180" spans="13:16" x14ac:dyDescent="0.25">
      <c r="M1180" s="34">
        <v>411099</v>
      </c>
      <c r="N1180" s="2" t="s">
        <v>367</v>
      </c>
      <c r="O1180" s="2" t="s">
        <v>183</v>
      </c>
      <c r="P1180" s="2" t="str">
        <f t="shared" si="21"/>
        <v>411099-AJUSTES POR INFLACION-SUBCUENTA</v>
      </c>
    </row>
    <row r="1181" spans="13:16" x14ac:dyDescent="0.25">
      <c r="M1181" s="34">
        <v>4115</v>
      </c>
      <c r="N1181" s="2" t="s">
        <v>993</v>
      </c>
      <c r="O1181" s="2" t="s">
        <v>182</v>
      </c>
      <c r="P1181" s="2" t="str">
        <f t="shared" si="21"/>
        <v>4115-EXPLOTACION DE MINAS Y CANTERAS-CUENTA</v>
      </c>
    </row>
    <row r="1182" spans="13:16" x14ac:dyDescent="0.25">
      <c r="M1182" s="34">
        <v>411505</v>
      </c>
      <c r="N1182" s="2" t="s">
        <v>994</v>
      </c>
      <c r="O1182" s="2" t="s">
        <v>183</v>
      </c>
      <c r="P1182" s="2" t="str">
        <f t="shared" si="21"/>
        <v>411505-CARBON-SUBCUENTA</v>
      </c>
    </row>
    <row r="1183" spans="13:16" x14ac:dyDescent="0.25">
      <c r="M1183" s="34">
        <v>411510</v>
      </c>
      <c r="N1183" s="2" t="s">
        <v>995</v>
      </c>
      <c r="O1183" s="2" t="s">
        <v>183</v>
      </c>
      <c r="P1183" s="2" t="str">
        <f t="shared" si="21"/>
        <v>411510-PETROLEO CRUDO-SUBCUENTA</v>
      </c>
    </row>
    <row r="1184" spans="13:16" x14ac:dyDescent="0.25">
      <c r="M1184" s="34">
        <v>411512</v>
      </c>
      <c r="N1184" s="2" t="s">
        <v>996</v>
      </c>
      <c r="O1184" s="2" t="s">
        <v>183</v>
      </c>
      <c r="P1184" s="2" t="str">
        <f t="shared" si="21"/>
        <v>411512-GAS NATURAL-SUBCUENTA</v>
      </c>
    </row>
    <row r="1185" spans="13:16" x14ac:dyDescent="0.25">
      <c r="M1185" s="34">
        <v>411514</v>
      </c>
      <c r="N1185" s="2" t="s">
        <v>997</v>
      </c>
      <c r="O1185" s="2" t="s">
        <v>183</v>
      </c>
      <c r="P1185" s="2" t="str">
        <f t="shared" si="21"/>
        <v>411514-SERVICIOS RELACIONADOS CON EXTRACCION DE PETROLEO Y GAS-SUBCUENTA</v>
      </c>
    </row>
    <row r="1186" spans="13:16" x14ac:dyDescent="0.25">
      <c r="M1186" s="34">
        <v>411515</v>
      </c>
      <c r="N1186" s="2" t="s">
        <v>998</v>
      </c>
      <c r="O1186" s="2" t="s">
        <v>183</v>
      </c>
      <c r="P1186" s="2" t="str">
        <f t="shared" si="21"/>
        <v>411515-MINERALES DE HIERRO-SUBCUENTA</v>
      </c>
    </row>
    <row r="1187" spans="13:16" x14ac:dyDescent="0.25">
      <c r="M1187" s="34">
        <v>411520</v>
      </c>
      <c r="N1187" s="2" t="s">
        <v>999</v>
      </c>
      <c r="O1187" s="2" t="s">
        <v>183</v>
      </c>
      <c r="P1187" s="2" t="str">
        <f t="shared" si="21"/>
        <v>411520-MINERALES METALIFEROS NO FERROSOS-SUBCUENTA</v>
      </c>
    </row>
    <row r="1188" spans="13:16" x14ac:dyDescent="0.25">
      <c r="M1188" s="34">
        <v>411525</v>
      </c>
      <c r="N1188" s="2" t="s">
        <v>1000</v>
      </c>
      <c r="O1188" s="2" t="s">
        <v>183</v>
      </c>
      <c r="P1188" s="2" t="str">
        <f t="shared" si="21"/>
        <v>411525-PIEDRA, ARENA Y ARCILLA-SUBCUENTA</v>
      </c>
    </row>
    <row r="1189" spans="13:16" x14ac:dyDescent="0.25">
      <c r="M1189" s="34">
        <v>411527</v>
      </c>
      <c r="N1189" s="2" t="s">
        <v>1001</v>
      </c>
      <c r="O1189" s="2" t="s">
        <v>183</v>
      </c>
      <c r="P1189" s="2" t="str">
        <f t="shared" si="21"/>
        <v>411527-PIEDRAS PRECIOSAS-SUBCUENTA</v>
      </c>
    </row>
    <row r="1190" spans="13:16" x14ac:dyDescent="0.25">
      <c r="M1190" s="34">
        <v>411528</v>
      </c>
      <c r="N1190" s="2" t="s">
        <v>1002</v>
      </c>
      <c r="O1190" s="2" t="s">
        <v>183</v>
      </c>
      <c r="P1190" s="2" t="str">
        <f t="shared" si="21"/>
        <v>411528-ORO-SUBCUENTA</v>
      </c>
    </row>
    <row r="1191" spans="13:16" x14ac:dyDescent="0.25">
      <c r="M1191" s="34">
        <v>411530</v>
      </c>
      <c r="N1191" s="2" t="s">
        <v>1003</v>
      </c>
      <c r="O1191" s="2" t="s">
        <v>183</v>
      </c>
      <c r="P1191" s="2" t="str">
        <f t="shared" si="21"/>
        <v>411530-OTRAS MINAS Y CANTERAS-SUBCUENTA</v>
      </c>
    </row>
    <row r="1192" spans="13:16" x14ac:dyDescent="0.25">
      <c r="M1192" s="34">
        <v>411532</v>
      </c>
      <c r="N1192" s="2" t="s">
        <v>1004</v>
      </c>
      <c r="O1192" s="2" t="s">
        <v>183</v>
      </c>
      <c r="P1192" s="2" t="str">
        <f t="shared" si="21"/>
        <v>411532-PRESTACION DE SERVICIOS SECTOR MINERO-SUBCUENTA</v>
      </c>
    </row>
    <row r="1193" spans="13:16" x14ac:dyDescent="0.25">
      <c r="M1193" s="34">
        <v>411595</v>
      </c>
      <c r="N1193" s="2" t="s">
        <v>992</v>
      </c>
      <c r="O1193" s="2" t="s">
        <v>183</v>
      </c>
      <c r="P1193" s="2" t="str">
        <f t="shared" si="21"/>
        <v>411595-ACTIVIDADES CONEXAS-SUBCUENTA</v>
      </c>
    </row>
    <row r="1194" spans="13:16" x14ac:dyDescent="0.25">
      <c r="M1194" s="34">
        <v>411599</v>
      </c>
      <c r="N1194" s="2" t="s">
        <v>367</v>
      </c>
      <c r="O1194" s="2" t="s">
        <v>183</v>
      </c>
      <c r="P1194" s="2" t="str">
        <f t="shared" si="21"/>
        <v>411599-AJUSTES POR INFLACION-SUBCUENTA</v>
      </c>
    </row>
    <row r="1195" spans="13:16" x14ac:dyDescent="0.25">
      <c r="M1195" s="34">
        <v>4120</v>
      </c>
      <c r="N1195" s="2" t="s">
        <v>1005</v>
      </c>
      <c r="O1195" s="2" t="s">
        <v>182</v>
      </c>
      <c r="P1195" s="2" t="str">
        <f t="shared" si="21"/>
        <v>4120-INDUSTRIAS MANUFACTURERAS-CUENTA</v>
      </c>
    </row>
    <row r="1196" spans="13:16" x14ac:dyDescent="0.25">
      <c r="M1196" s="34">
        <v>412001</v>
      </c>
      <c r="N1196" s="2" t="s">
        <v>1006</v>
      </c>
      <c r="O1196" s="2" t="s">
        <v>183</v>
      </c>
      <c r="P1196" s="2" t="str">
        <f t="shared" si="21"/>
        <v>412001-PRODUCCION Y PROCESAMIENTO DE CARNES Y PRODUCTOS CARNICOS-SUBCUENTA</v>
      </c>
    </row>
    <row r="1197" spans="13:16" x14ac:dyDescent="0.25">
      <c r="M1197" s="34">
        <v>412002</v>
      </c>
      <c r="N1197" s="2" t="s">
        <v>1007</v>
      </c>
      <c r="O1197" s="2" t="s">
        <v>183</v>
      </c>
      <c r="P1197" s="2" t="str">
        <f t="shared" si="21"/>
        <v>412002-PRODUCTOS DE PESCADO-SUBCUENTA</v>
      </c>
    </row>
    <row r="1198" spans="13:16" x14ac:dyDescent="0.25">
      <c r="M1198" s="34">
        <v>412003</v>
      </c>
      <c r="N1198" s="2" t="s">
        <v>1008</v>
      </c>
      <c r="O1198" s="2" t="s">
        <v>183</v>
      </c>
      <c r="P1198" s="2" t="str">
        <f t="shared" si="21"/>
        <v>412003-PRODUCTOS DE FRUTAS, LEGUMBRES Y HORTALIZAS-SUBCUENTA</v>
      </c>
    </row>
    <row r="1199" spans="13:16" x14ac:dyDescent="0.25">
      <c r="M1199" s="34">
        <v>412004</v>
      </c>
      <c r="N1199" s="2" t="s">
        <v>1009</v>
      </c>
      <c r="O1199" s="2" t="s">
        <v>183</v>
      </c>
      <c r="P1199" s="2" t="str">
        <f t="shared" si="21"/>
        <v>412004-ELABORACION DE ACEITES Y GRASAS-SUBCUENTA</v>
      </c>
    </row>
    <row r="1200" spans="13:16" x14ac:dyDescent="0.25">
      <c r="M1200" s="34">
        <v>412005</v>
      </c>
      <c r="N1200" s="2" t="s">
        <v>1010</v>
      </c>
      <c r="O1200" s="2" t="s">
        <v>183</v>
      </c>
      <c r="P1200" s="2" t="str">
        <f t="shared" si="21"/>
        <v>412005-ELABORACION DE PRODUCTOS LACTEOS-SUBCUENTA</v>
      </c>
    </row>
    <row r="1201" spans="13:16" x14ac:dyDescent="0.25">
      <c r="M1201" s="34">
        <v>412006</v>
      </c>
      <c r="N1201" s="2" t="s">
        <v>1011</v>
      </c>
      <c r="O1201" s="2" t="s">
        <v>183</v>
      </c>
      <c r="P1201" s="2" t="str">
        <f t="shared" si="21"/>
        <v>412006-ELABORACION DE PRODUCTOS DE MOLINERIA-SUBCUENTA</v>
      </c>
    </row>
    <row r="1202" spans="13:16" x14ac:dyDescent="0.25">
      <c r="M1202" s="34">
        <v>412007</v>
      </c>
      <c r="N1202" s="2" t="s">
        <v>1012</v>
      </c>
      <c r="O1202" s="2" t="s">
        <v>183</v>
      </c>
      <c r="P1202" s="2" t="str">
        <f t="shared" si="21"/>
        <v>412007-ELABORACION DE ALMIDONES Y DERIVADOS-SUBCUENTA</v>
      </c>
    </row>
    <row r="1203" spans="13:16" x14ac:dyDescent="0.25">
      <c r="M1203" s="34">
        <v>412008</v>
      </c>
      <c r="N1203" s="2" t="s">
        <v>1013</v>
      </c>
      <c r="O1203" s="2" t="s">
        <v>183</v>
      </c>
      <c r="P1203" s="2" t="str">
        <f t="shared" si="21"/>
        <v>412008-ELABORACION DE ALIMENTOS PARA ANIMALES-SUBCUENTA</v>
      </c>
    </row>
    <row r="1204" spans="13:16" x14ac:dyDescent="0.25">
      <c r="M1204" s="34">
        <v>412009</v>
      </c>
      <c r="N1204" s="2" t="s">
        <v>1014</v>
      </c>
      <c r="O1204" s="2" t="s">
        <v>183</v>
      </c>
      <c r="P1204" s="2" t="str">
        <f t="shared" si="21"/>
        <v>412009-ELABORACION DE PRODUCTOS PARA PANADERIA-SUBCUENTA</v>
      </c>
    </row>
    <row r="1205" spans="13:16" x14ac:dyDescent="0.25">
      <c r="M1205" s="34">
        <v>412010</v>
      </c>
      <c r="N1205" s="2" t="s">
        <v>1015</v>
      </c>
      <c r="O1205" s="2" t="s">
        <v>183</v>
      </c>
      <c r="P1205" s="2" t="str">
        <f t="shared" si="21"/>
        <v>412010-ELABORACION DE AZUCAR Y MELAZAS-SUBCUENTA</v>
      </c>
    </row>
    <row r="1206" spans="13:16" x14ac:dyDescent="0.25">
      <c r="M1206" s="34">
        <v>412011</v>
      </c>
      <c r="N1206" s="2" t="s">
        <v>1016</v>
      </c>
      <c r="O1206" s="2" t="s">
        <v>183</v>
      </c>
      <c r="P1206" s="2" t="str">
        <f t="shared" si="21"/>
        <v>412011-ELABORACION DE CACAO, CHOCOLATE Y CONFITERIA-SUBCUENTA</v>
      </c>
    </row>
    <row r="1207" spans="13:16" x14ac:dyDescent="0.25">
      <c r="M1207" s="34">
        <v>412012</v>
      </c>
      <c r="N1207" s="2" t="s">
        <v>1017</v>
      </c>
      <c r="O1207" s="2" t="s">
        <v>183</v>
      </c>
      <c r="P1207" s="2" t="str">
        <f t="shared" si="21"/>
        <v>412012-ELABORACION DE PASTAS Y PRODUCTOS FARINACEOS-SUBCUENTA</v>
      </c>
    </row>
    <row r="1208" spans="13:16" x14ac:dyDescent="0.25">
      <c r="M1208" s="34">
        <v>412013</v>
      </c>
      <c r="N1208" s="2" t="s">
        <v>1018</v>
      </c>
      <c r="O1208" s="2" t="s">
        <v>183</v>
      </c>
      <c r="P1208" s="2" t="str">
        <f t="shared" si="21"/>
        <v>412013-ELABORACION DE PRODUCTOS DE CAFE-SUBCUENTA</v>
      </c>
    </row>
    <row r="1209" spans="13:16" x14ac:dyDescent="0.25">
      <c r="M1209" s="34">
        <v>412014</v>
      </c>
      <c r="N1209" s="2" t="s">
        <v>1019</v>
      </c>
      <c r="O1209" s="2" t="s">
        <v>183</v>
      </c>
      <c r="P1209" s="2" t="str">
        <f t="shared" si="21"/>
        <v>412014-ELABORACION DE OTROS PRODUCTOS ALIMENTICIOS-SUBCUENTA</v>
      </c>
    </row>
    <row r="1210" spans="13:16" x14ac:dyDescent="0.25">
      <c r="M1210" s="34">
        <v>412015</v>
      </c>
      <c r="N1210" s="2" t="s">
        <v>1020</v>
      </c>
      <c r="O1210" s="2" t="s">
        <v>183</v>
      </c>
      <c r="P1210" s="2" t="str">
        <f t="shared" si="21"/>
        <v>412015-ELABORACION DE BEBIDAS ALCOHOLICAS Y ALCOHOL ETILICO-SUBCUENTA</v>
      </c>
    </row>
    <row r="1211" spans="13:16" x14ac:dyDescent="0.25">
      <c r="M1211" s="34">
        <v>412016</v>
      </c>
      <c r="N1211" s="2" t="s">
        <v>1021</v>
      </c>
      <c r="O1211" s="2" t="s">
        <v>183</v>
      </c>
      <c r="P1211" s="2" t="str">
        <f t="shared" si="21"/>
        <v>412016-ELABORACION DE VINOS-SUBCUENTA</v>
      </c>
    </row>
    <row r="1212" spans="13:16" x14ac:dyDescent="0.25">
      <c r="M1212" s="34">
        <v>412017</v>
      </c>
      <c r="N1212" s="2" t="s">
        <v>1022</v>
      </c>
      <c r="O1212" s="2" t="s">
        <v>183</v>
      </c>
      <c r="P1212" s="2" t="str">
        <f t="shared" si="21"/>
        <v>412017-ELABORACION DE BEBIDAS MALTEADAS Y DE MALTA-SUBCUENTA</v>
      </c>
    </row>
    <row r="1213" spans="13:16" x14ac:dyDescent="0.25">
      <c r="M1213" s="34">
        <v>412018</v>
      </c>
      <c r="N1213" s="2" t="s">
        <v>1023</v>
      </c>
      <c r="O1213" s="2" t="s">
        <v>183</v>
      </c>
      <c r="P1213" s="2" t="str">
        <f t="shared" si="21"/>
        <v>412018-ELABORACION DE BEBIDAS NO ALCOHOLICAS-SUBCUENTA</v>
      </c>
    </row>
    <row r="1214" spans="13:16" x14ac:dyDescent="0.25">
      <c r="M1214" s="34">
        <v>412019</v>
      </c>
      <c r="N1214" s="2" t="s">
        <v>1024</v>
      </c>
      <c r="O1214" s="2" t="s">
        <v>183</v>
      </c>
      <c r="P1214" s="2" t="str">
        <f t="shared" si="21"/>
        <v>412019-ELABORACION DE PRODUCTOS DE TABACO-SUBCUENTA</v>
      </c>
    </row>
    <row r="1215" spans="13:16" x14ac:dyDescent="0.25">
      <c r="M1215" s="34">
        <v>412020</v>
      </c>
      <c r="N1215" s="2" t="s">
        <v>1025</v>
      </c>
      <c r="O1215" s="2" t="s">
        <v>183</v>
      </c>
      <c r="P1215" s="2" t="str">
        <f t="shared" si="21"/>
        <v>412020-PREPARACION E HILATURA DE FIBRAS TEXTILES Y TEJEDURIA-SUBCUENTA</v>
      </c>
    </row>
    <row r="1216" spans="13:16" x14ac:dyDescent="0.25">
      <c r="M1216" s="34">
        <v>412021</v>
      </c>
      <c r="N1216" s="2" t="s">
        <v>1026</v>
      </c>
      <c r="O1216" s="2" t="s">
        <v>183</v>
      </c>
      <c r="P1216" s="2" t="str">
        <f t="shared" si="21"/>
        <v>412021-ACABADO DE PRODUCTOS TEXTILES-SUBCUENTA</v>
      </c>
    </row>
    <row r="1217" spans="13:16" x14ac:dyDescent="0.25">
      <c r="M1217" s="34">
        <v>412022</v>
      </c>
      <c r="N1217" s="2" t="s">
        <v>1027</v>
      </c>
      <c r="O1217" s="2" t="s">
        <v>183</v>
      </c>
      <c r="P1217" s="2" t="str">
        <f t="shared" si="21"/>
        <v>412022-ELABORACION DE ARTICULOS DE MATERIALES TEXTILES-SUBCUENTA</v>
      </c>
    </row>
    <row r="1218" spans="13:16" x14ac:dyDescent="0.25">
      <c r="M1218" s="34">
        <v>412023</v>
      </c>
      <c r="N1218" s="2" t="s">
        <v>1028</v>
      </c>
      <c r="O1218" s="2" t="s">
        <v>183</v>
      </c>
      <c r="P1218" s="2" t="str">
        <f t="shared" si="21"/>
        <v>412023-ELABORACION DE TAPICES Y ALFOMBRAS-SUBCUENTA</v>
      </c>
    </row>
    <row r="1219" spans="13:16" x14ac:dyDescent="0.25">
      <c r="M1219" s="34">
        <v>412024</v>
      </c>
      <c r="N1219" s="2" t="s">
        <v>1029</v>
      </c>
      <c r="O1219" s="2" t="s">
        <v>183</v>
      </c>
      <c r="P1219" s="2" t="str">
        <f t="shared" si="21"/>
        <v>412024-ELABORACION DE CUERDAS, CORDELES, BRAMANTES Y REDES-SUBCUENTA</v>
      </c>
    </row>
    <row r="1220" spans="13:16" x14ac:dyDescent="0.25">
      <c r="M1220" s="34">
        <v>412025</v>
      </c>
      <c r="N1220" s="2" t="s">
        <v>1030</v>
      </c>
      <c r="O1220" s="2" t="s">
        <v>183</v>
      </c>
      <c r="P1220" s="2" t="str">
        <f t="shared" ref="P1220:P1283" si="22">IF(AND(M1220&lt;&gt;"",N1220&lt;&gt;"",O1220&lt;&gt;""),M1220&amp;"-"&amp;N1220&amp;"-"&amp;O1220,IF(AND(M1220="",N1220&lt;&gt;"",O1220&lt;&gt;""),N1220&amp;"-"&amp;O1220,IF(AND(M1220&lt;&gt;"",N1220="",O1220&lt;&gt;""),M1220&amp;"-"&amp;O1220,IF(AND(M1220&lt;&gt;"",N1220&lt;&gt;"",O1220=""),M1220&amp;"-"&amp;N1220,IF(AND(M1220&lt;&gt;"",N1220="",O1220=""),M1220,"")))))</f>
        <v>412025-ELABORACION DE OTROS PRODUCTOS TEXTILES-SUBCUENTA</v>
      </c>
    </row>
    <row r="1221" spans="13:16" x14ac:dyDescent="0.25">
      <c r="M1221" s="34">
        <v>412026</v>
      </c>
      <c r="N1221" s="2" t="s">
        <v>1031</v>
      </c>
      <c r="O1221" s="2" t="s">
        <v>183</v>
      </c>
      <c r="P1221" s="2" t="str">
        <f t="shared" si="22"/>
        <v>412026-ELABORACION DE TEJIDOS-SUBCUENTA</v>
      </c>
    </row>
    <row r="1222" spans="13:16" x14ac:dyDescent="0.25">
      <c r="M1222" s="34">
        <v>412027</v>
      </c>
      <c r="N1222" s="2" t="s">
        <v>1032</v>
      </c>
      <c r="O1222" s="2" t="s">
        <v>183</v>
      </c>
      <c r="P1222" s="2" t="str">
        <f t="shared" si="22"/>
        <v>412027-ELABORACION DE PRENDAS DE VESTIR-SUBCUENTA</v>
      </c>
    </row>
    <row r="1223" spans="13:16" x14ac:dyDescent="0.25">
      <c r="M1223" s="34">
        <v>412028</v>
      </c>
      <c r="N1223" s="2" t="s">
        <v>1033</v>
      </c>
      <c r="O1223" s="2" t="s">
        <v>183</v>
      </c>
      <c r="P1223" s="2" t="str">
        <f t="shared" si="22"/>
        <v>412028-PREPARACION, ADOBO Y TEÑIDO DE PIELES-SUBCUENTA</v>
      </c>
    </row>
    <row r="1224" spans="13:16" x14ac:dyDescent="0.25">
      <c r="M1224" s="34">
        <v>412029</v>
      </c>
      <c r="N1224" s="2" t="s">
        <v>1034</v>
      </c>
      <c r="O1224" s="2" t="s">
        <v>183</v>
      </c>
      <c r="P1224" s="2" t="str">
        <f t="shared" si="22"/>
        <v>412029-CURTIDO, ADOBO O PREPARACION DE CUERO-SUBCUENTA</v>
      </c>
    </row>
    <row r="1225" spans="13:16" x14ac:dyDescent="0.25">
      <c r="M1225" s="34">
        <v>412030</v>
      </c>
      <c r="N1225" s="2" t="s">
        <v>1035</v>
      </c>
      <c r="O1225" s="2" t="s">
        <v>183</v>
      </c>
      <c r="P1225" s="2" t="str">
        <f t="shared" si="22"/>
        <v>412030-ELABORACION DE MALETAS, BOLSOS Y SIMILARES-SUBCUENTA</v>
      </c>
    </row>
    <row r="1226" spans="13:16" x14ac:dyDescent="0.25">
      <c r="M1226" s="34">
        <v>412031</v>
      </c>
      <c r="N1226" s="2" t="s">
        <v>1036</v>
      </c>
      <c r="O1226" s="2" t="s">
        <v>183</v>
      </c>
      <c r="P1226" s="2" t="str">
        <f t="shared" si="22"/>
        <v>412031-ELABORACION DE CALZADO-SUBCUENTA</v>
      </c>
    </row>
    <row r="1227" spans="13:16" x14ac:dyDescent="0.25">
      <c r="M1227" s="34">
        <v>412032</v>
      </c>
      <c r="N1227" s="2" t="s">
        <v>1037</v>
      </c>
      <c r="O1227" s="2" t="s">
        <v>183</v>
      </c>
      <c r="P1227" s="2" t="str">
        <f t="shared" si="22"/>
        <v>412032-PRODUCCION DE MADERA, ARTICULOS DE MADERA Y CORCHO-SUBCUENTA</v>
      </c>
    </row>
    <row r="1228" spans="13:16" x14ac:dyDescent="0.25">
      <c r="M1228" s="34">
        <v>412033</v>
      </c>
      <c r="N1228" s="2" t="s">
        <v>1038</v>
      </c>
      <c r="O1228" s="2" t="s">
        <v>183</v>
      </c>
      <c r="P1228" s="2" t="str">
        <f t="shared" si="22"/>
        <v>412033-ELABORACION DE PASTA Y PRODUCTOS DE MADERA, PAPEL Y CARTON-SUBCUENTA</v>
      </c>
    </row>
    <row r="1229" spans="13:16" x14ac:dyDescent="0.25">
      <c r="M1229" s="34">
        <v>412034</v>
      </c>
      <c r="N1229" s="2" t="s">
        <v>1039</v>
      </c>
      <c r="O1229" s="2" t="s">
        <v>183</v>
      </c>
      <c r="P1229" s="2" t="str">
        <f t="shared" si="22"/>
        <v>412034-EDICIONES Y PUBLICACIONES-SUBCUENTA</v>
      </c>
    </row>
    <row r="1230" spans="13:16" x14ac:dyDescent="0.25">
      <c r="M1230" s="34">
        <v>412035</v>
      </c>
      <c r="N1230" s="2" t="s">
        <v>1040</v>
      </c>
      <c r="O1230" s="2" t="s">
        <v>183</v>
      </c>
      <c r="P1230" s="2" t="str">
        <f t="shared" si="22"/>
        <v>412035-IMPRESION-SUBCUENTA</v>
      </c>
    </row>
    <row r="1231" spans="13:16" x14ac:dyDescent="0.25">
      <c r="M1231" s="34">
        <v>412036</v>
      </c>
      <c r="N1231" s="2" t="s">
        <v>1041</v>
      </c>
      <c r="O1231" s="2" t="s">
        <v>183</v>
      </c>
      <c r="P1231" s="2" t="str">
        <f t="shared" si="22"/>
        <v>412036-SERVICIOS RELACIONADOS CON LA EDICION Y LA IMPRESION-SUBCUENTA</v>
      </c>
    </row>
    <row r="1232" spans="13:16" x14ac:dyDescent="0.25">
      <c r="M1232" s="34">
        <v>412037</v>
      </c>
      <c r="N1232" s="2" t="s">
        <v>1042</v>
      </c>
      <c r="O1232" s="2" t="s">
        <v>183</v>
      </c>
      <c r="P1232" s="2" t="str">
        <f t="shared" si="22"/>
        <v>412037-REPRODUCCION DE GRABACIONES-SUBCUENTA</v>
      </c>
    </row>
    <row r="1233" spans="13:16" x14ac:dyDescent="0.25">
      <c r="M1233" s="34">
        <v>412038</v>
      </c>
      <c r="N1233" s="2" t="s">
        <v>1043</v>
      </c>
      <c r="O1233" s="2" t="s">
        <v>183</v>
      </c>
      <c r="P1233" s="2" t="str">
        <f t="shared" si="22"/>
        <v>412038-ELABORACION DE PRODUCTOS DE HORNO DE COQUE-SUBCUENTA</v>
      </c>
    </row>
    <row r="1234" spans="13:16" x14ac:dyDescent="0.25">
      <c r="M1234" s="34">
        <v>412039</v>
      </c>
      <c r="N1234" s="2" t="s">
        <v>1044</v>
      </c>
      <c r="O1234" s="2" t="s">
        <v>183</v>
      </c>
      <c r="P1234" s="2" t="str">
        <f t="shared" si="22"/>
        <v>412039-ELABORACION DE PRODUCTOS DE LA REFINACION DE PETROLEO-SUBCUENTA</v>
      </c>
    </row>
    <row r="1235" spans="13:16" x14ac:dyDescent="0.25">
      <c r="M1235" s="34">
        <v>412040</v>
      </c>
      <c r="N1235" s="2" t="s">
        <v>1045</v>
      </c>
      <c r="O1235" s="2" t="s">
        <v>183</v>
      </c>
      <c r="P1235" s="2" t="str">
        <f t="shared" si="22"/>
        <v>412040-ELABORACION DE SUSTANCIAS QUIMICAS BASICAS-SUBCUENTA</v>
      </c>
    </row>
    <row r="1236" spans="13:16" x14ac:dyDescent="0.25">
      <c r="M1236" s="34">
        <v>412041</v>
      </c>
      <c r="N1236" s="2" t="s">
        <v>1046</v>
      </c>
      <c r="O1236" s="2" t="s">
        <v>183</v>
      </c>
      <c r="P1236" s="2" t="str">
        <f t="shared" si="22"/>
        <v>412041-ELABORACION DE ABONOS Y COMPUESTOS DE NITROGENO-SUBCUENTA</v>
      </c>
    </row>
    <row r="1237" spans="13:16" x14ac:dyDescent="0.25">
      <c r="M1237" s="34">
        <v>412042</v>
      </c>
      <c r="N1237" s="2" t="s">
        <v>1047</v>
      </c>
      <c r="O1237" s="2" t="s">
        <v>183</v>
      </c>
      <c r="P1237" s="2" t="str">
        <f t="shared" si="22"/>
        <v>412042-ELABORACION DE PLASTICO Y CAUCHO SINTETICO-SUBCUENTA</v>
      </c>
    </row>
    <row r="1238" spans="13:16" x14ac:dyDescent="0.25">
      <c r="M1238" s="34">
        <v>412043</v>
      </c>
      <c r="N1238" s="2" t="s">
        <v>1048</v>
      </c>
      <c r="O1238" s="2" t="s">
        <v>183</v>
      </c>
      <c r="P1238" s="2" t="str">
        <f t="shared" si="22"/>
        <v>412043-ELABORACION DE PRODUCTOS QUIMICOS DE USO AGROPECUARIO-SUBCUENTA</v>
      </c>
    </row>
    <row r="1239" spans="13:16" x14ac:dyDescent="0.25">
      <c r="M1239" s="34">
        <v>412044</v>
      </c>
      <c r="N1239" s="2" t="s">
        <v>1049</v>
      </c>
      <c r="O1239" s="2" t="s">
        <v>183</v>
      </c>
      <c r="P1239" s="2" t="str">
        <f t="shared" si="22"/>
        <v>412044-ELABORACION DE PINTURAS, TINTAS Y MASILLAS-SUBCUENTA</v>
      </c>
    </row>
    <row r="1240" spans="13:16" x14ac:dyDescent="0.25">
      <c r="M1240" s="34">
        <v>412045</v>
      </c>
      <c r="N1240" s="2" t="s">
        <v>1050</v>
      </c>
      <c r="O1240" s="2" t="s">
        <v>183</v>
      </c>
      <c r="P1240" s="2" t="str">
        <f t="shared" si="22"/>
        <v>412045-ELABORACION DE PRODUCTOS FARMACEUTICOS Y BOTANICOS-SUBCUENTA</v>
      </c>
    </row>
    <row r="1241" spans="13:16" x14ac:dyDescent="0.25">
      <c r="M1241" s="34">
        <v>412046</v>
      </c>
      <c r="N1241" s="2" t="s">
        <v>1051</v>
      </c>
      <c r="O1241" s="2" t="s">
        <v>183</v>
      </c>
      <c r="P1241" s="2" t="str">
        <f t="shared" si="22"/>
        <v>412046-ELABORACION DE JABONES, DETERGENTES Y PREPARADOS DE TOCADOR-SUBCUENTA</v>
      </c>
    </row>
    <row r="1242" spans="13:16" x14ac:dyDescent="0.25">
      <c r="M1242" s="34">
        <v>412047</v>
      </c>
      <c r="N1242" s="2" t="s">
        <v>1052</v>
      </c>
      <c r="O1242" s="2" t="s">
        <v>183</v>
      </c>
      <c r="P1242" s="2" t="str">
        <f t="shared" si="22"/>
        <v>412047-ELABORACION DE OTROS PRODUCTOS QUIMICOS-SUBCUENTA</v>
      </c>
    </row>
    <row r="1243" spans="13:16" x14ac:dyDescent="0.25">
      <c r="M1243" s="34">
        <v>412048</v>
      </c>
      <c r="N1243" s="2" t="s">
        <v>1053</v>
      </c>
      <c r="O1243" s="2" t="s">
        <v>183</v>
      </c>
      <c r="P1243" s="2" t="str">
        <f t="shared" si="22"/>
        <v>412048-ELABORACION DE FIBRAS-SUBCUENTA</v>
      </c>
    </row>
    <row r="1244" spans="13:16" x14ac:dyDescent="0.25">
      <c r="M1244" s="34">
        <v>412049</v>
      </c>
      <c r="N1244" s="2" t="s">
        <v>1054</v>
      </c>
      <c r="O1244" s="2" t="s">
        <v>183</v>
      </c>
      <c r="P1244" s="2" t="str">
        <f t="shared" si="22"/>
        <v>412049-ELABORACION DE OTROS PRODUCTOS DE CAUCHO-SUBCUENTA</v>
      </c>
    </row>
    <row r="1245" spans="13:16" x14ac:dyDescent="0.25">
      <c r="M1245" s="34">
        <v>412050</v>
      </c>
      <c r="N1245" s="2" t="s">
        <v>1055</v>
      </c>
      <c r="O1245" s="2" t="s">
        <v>183</v>
      </c>
      <c r="P1245" s="2" t="str">
        <f t="shared" si="22"/>
        <v>412050-ELABORACION DE PRODUCTOS DE PLASTICO-SUBCUENTA</v>
      </c>
    </row>
    <row r="1246" spans="13:16" x14ac:dyDescent="0.25">
      <c r="M1246" s="34">
        <v>412051</v>
      </c>
      <c r="N1246" s="2" t="s">
        <v>1056</v>
      </c>
      <c r="O1246" s="2" t="s">
        <v>183</v>
      </c>
      <c r="P1246" s="2" t="str">
        <f t="shared" si="22"/>
        <v>412051-ELABORACION DE VIDRIO Y PRODUCTOS DE VIDRIO-SUBCUENTA</v>
      </c>
    </row>
    <row r="1247" spans="13:16" x14ac:dyDescent="0.25">
      <c r="M1247" s="34">
        <v>412052</v>
      </c>
      <c r="N1247" s="2" t="s">
        <v>1057</v>
      </c>
      <c r="O1247" s="2" t="s">
        <v>183</v>
      </c>
      <c r="P1247" s="2" t="str">
        <f t="shared" si="22"/>
        <v>412052-ELABORACION DE PRODUCTOS DE CERAMICA, LOZA, PIEDRA, ARCILLA Y PORCELANA-SUBCUENTA</v>
      </c>
    </row>
    <row r="1248" spans="13:16" x14ac:dyDescent="0.25">
      <c r="M1248" s="34">
        <v>412053</v>
      </c>
      <c r="N1248" s="2" t="s">
        <v>1058</v>
      </c>
      <c r="O1248" s="2" t="s">
        <v>183</v>
      </c>
      <c r="P1248" s="2" t="str">
        <f t="shared" si="22"/>
        <v>412053-ELABORACION DE CEMENTO, CAL Y YESO-SUBCUENTA</v>
      </c>
    </row>
    <row r="1249" spans="13:16" x14ac:dyDescent="0.25">
      <c r="M1249" s="34">
        <v>412054</v>
      </c>
      <c r="N1249" s="2" t="s">
        <v>1059</v>
      </c>
      <c r="O1249" s="2" t="s">
        <v>183</v>
      </c>
      <c r="P1249" s="2" t="str">
        <f t="shared" si="22"/>
        <v>412054-ELABORACION DE ARTICULOS DE HORMIGON, CEMENTO Y YESO-SUBCUENTA</v>
      </c>
    </row>
    <row r="1250" spans="13:16" x14ac:dyDescent="0.25">
      <c r="M1250" s="34">
        <v>412055</v>
      </c>
      <c r="N1250" s="2" t="s">
        <v>1060</v>
      </c>
      <c r="O1250" s="2" t="s">
        <v>183</v>
      </c>
      <c r="P1250" s="2" t="str">
        <f t="shared" si="22"/>
        <v>412055-CORTE, TALLADO Y ACABADO DE LA PIEDRA-SUBCUENTA</v>
      </c>
    </row>
    <row r="1251" spans="13:16" x14ac:dyDescent="0.25">
      <c r="M1251" s="34">
        <v>412056</v>
      </c>
      <c r="N1251" s="2" t="s">
        <v>1061</v>
      </c>
      <c r="O1251" s="2" t="s">
        <v>183</v>
      </c>
      <c r="P1251" s="2" t="str">
        <f t="shared" si="22"/>
        <v>412056-ELABORACION DE OTROS PRODUCTOS MINERALES NO METALICOS-SUBCUENTA</v>
      </c>
    </row>
    <row r="1252" spans="13:16" x14ac:dyDescent="0.25">
      <c r="M1252" s="34">
        <v>412057</v>
      </c>
      <c r="N1252" s="2" t="s">
        <v>1062</v>
      </c>
      <c r="O1252" s="2" t="s">
        <v>183</v>
      </c>
      <c r="P1252" s="2" t="str">
        <f t="shared" si="22"/>
        <v>412057-INDUSTRIAS BASICAS Y FUNDICION DE HIERRO Y ACERO-SUBCUENTA</v>
      </c>
    </row>
    <row r="1253" spans="13:16" x14ac:dyDescent="0.25">
      <c r="M1253" s="34">
        <v>412058</v>
      </c>
      <c r="N1253" s="2" t="s">
        <v>1063</v>
      </c>
      <c r="O1253" s="2" t="s">
        <v>183</v>
      </c>
      <c r="P1253" s="2" t="str">
        <f t="shared" si="22"/>
        <v>412058-PRODUCTOS PRIMARIOS DE METALES PRECIOSOS Y DE METALES NO FERROSOS-SUBCUENTA</v>
      </c>
    </row>
    <row r="1254" spans="13:16" x14ac:dyDescent="0.25">
      <c r="M1254" s="34">
        <v>412059</v>
      </c>
      <c r="N1254" s="2" t="s">
        <v>1064</v>
      </c>
      <c r="O1254" s="2" t="s">
        <v>183</v>
      </c>
      <c r="P1254" s="2" t="str">
        <f t="shared" si="22"/>
        <v>412059-FUNDICION DE METALES NO FERROSOS-SUBCUENTA</v>
      </c>
    </row>
    <row r="1255" spans="13:16" x14ac:dyDescent="0.25">
      <c r="M1255" s="34">
        <v>412060</v>
      </c>
      <c r="N1255" s="2" t="s">
        <v>1065</v>
      </c>
      <c r="O1255" s="2" t="s">
        <v>183</v>
      </c>
      <c r="P1255" s="2" t="str">
        <f t="shared" si="22"/>
        <v>412060-FABRICACION DE PRODUCTOS METALICOS PARA USO ESTRUCTURAL-SUBCUENTA</v>
      </c>
    </row>
    <row r="1256" spans="13:16" x14ac:dyDescent="0.25">
      <c r="M1256" s="34">
        <v>412061</v>
      </c>
      <c r="N1256" s="2" t="s">
        <v>1066</v>
      </c>
      <c r="O1256" s="2" t="s">
        <v>183</v>
      </c>
      <c r="P1256" s="2" t="str">
        <f t="shared" si="22"/>
        <v>412061-FORJA, PRENSADO, ESTAMPADO, LAMINADO DE METAL Y PULVIMETALURGIA-SUBCUENTA</v>
      </c>
    </row>
    <row r="1257" spans="13:16" x14ac:dyDescent="0.25">
      <c r="M1257" s="34">
        <v>412062</v>
      </c>
      <c r="N1257" s="2" t="s">
        <v>1067</v>
      </c>
      <c r="O1257" s="2" t="s">
        <v>183</v>
      </c>
      <c r="P1257" s="2" t="str">
        <f t="shared" si="22"/>
        <v>412062-REVESTIMIENTO DE METALES Y OBRAS DE INGENIERIA MECANICA-SUBCUENTA</v>
      </c>
    </row>
    <row r="1258" spans="13:16" x14ac:dyDescent="0.25">
      <c r="M1258" s="34">
        <v>412063</v>
      </c>
      <c r="N1258" s="2" t="s">
        <v>1068</v>
      </c>
      <c r="O1258" s="2" t="s">
        <v>183</v>
      </c>
      <c r="P1258" s="2" t="str">
        <f t="shared" si="22"/>
        <v>412063-FABRICACION DE ARTICULOS DE FERRETERIA-SUBCUENTA</v>
      </c>
    </row>
    <row r="1259" spans="13:16" x14ac:dyDescent="0.25">
      <c r="M1259" s="34">
        <v>412064</v>
      </c>
      <c r="N1259" s="2" t="s">
        <v>1069</v>
      </c>
      <c r="O1259" s="2" t="s">
        <v>183</v>
      </c>
      <c r="P1259" s="2" t="str">
        <f t="shared" si="22"/>
        <v>412064-ELABORACION DE OTROS PRODUCTOS DE METAL-SUBCUENTA</v>
      </c>
    </row>
    <row r="1260" spans="13:16" x14ac:dyDescent="0.25">
      <c r="M1260" s="34">
        <v>412065</v>
      </c>
      <c r="N1260" s="2" t="s">
        <v>1070</v>
      </c>
      <c r="O1260" s="2" t="s">
        <v>183</v>
      </c>
      <c r="P1260" s="2" t="str">
        <f t="shared" si="22"/>
        <v>412065-FABRICACION DE MAQUINARIA Y EQUIPO-SUBCUENTA</v>
      </c>
    </row>
    <row r="1261" spans="13:16" x14ac:dyDescent="0.25">
      <c r="M1261" s="34">
        <v>412066</v>
      </c>
      <c r="N1261" s="2" t="s">
        <v>1071</v>
      </c>
      <c r="O1261" s="2" t="s">
        <v>183</v>
      </c>
      <c r="P1261" s="2" t="str">
        <f t="shared" si="22"/>
        <v>412066-FABRICACION DE EQUIPOS DE ELEVACION Y MANIPULACION-SUBCUENTA</v>
      </c>
    </row>
    <row r="1262" spans="13:16" x14ac:dyDescent="0.25">
      <c r="M1262" s="34">
        <v>412067</v>
      </c>
      <c r="N1262" s="2" t="s">
        <v>1072</v>
      </c>
      <c r="O1262" s="2" t="s">
        <v>183</v>
      </c>
      <c r="P1262" s="2" t="str">
        <f t="shared" si="22"/>
        <v>412067-ELABORACION DE APARATOS DE USO DOMESTICO-SUBCUENTA</v>
      </c>
    </row>
    <row r="1263" spans="13:16" x14ac:dyDescent="0.25">
      <c r="M1263" s="34">
        <v>412068</v>
      </c>
      <c r="N1263" s="2" t="s">
        <v>1073</v>
      </c>
      <c r="O1263" s="2" t="s">
        <v>183</v>
      </c>
      <c r="P1263" s="2" t="str">
        <f t="shared" si="22"/>
        <v>412068-ELABORACION DE EQUIPO DE OFICINA-SUBCUENTA</v>
      </c>
    </row>
    <row r="1264" spans="13:16" x14ac:dyDescent="0.25">
      <c r="M1264" s="34">
        <v>412069</v>
      </c>
      <c r="N1264" s="2" t="s">
        <v>1074</v>
      </c>
      <c r="O1264" s="2" t="s">
        <v>183</v>
      </c>
      <c r="P1264" s="2" t="str">
        <f t="shared" si="22"/>
        <v>412069-ELABORACION DE PILAS Y BATERIAS PRIMARIAS-SUBCUENTA</v>
      </c>
    </row>
    <row r="1265" spans="13:16" x14ac:dyDescent="0.25">
      <c r="M1265" s="34">
        <v>412070</v>
      </c>
      <c r="N1265" s="2" t="s">
        <v>1075</v>
      </c>
      <c r="O1265" s="2" t="s">
        <v>183</v>
      </c>
      <c r="P1265" s="2" t="str">
        <f t="shared" si="22"/>
        <v>412070-ELABORACION DE EQUIPO DE ILUMINACION-SUBCUENTA</v>
      </c>
    </row>
    <row r="1266" spans="13:16" x14ac:dyDescent="0.25">
      <c r="M1266" s="34">
        <v>412071</v>
      </c>
      <c r="N1266" s="2" t="s">
        <v>1076</v>
      </c>
      <c r="O1266" s="2" t="s">
        <v>183</v>
      </c>
      <c r="P1266" s="2" t="str">
        <f t="shared" si="22"/>
        <v>412071-ELABORACION DE OTROS TIPOS DE EQUIPO ELECTRICO-SUBCUENTA</v>
      </c>
    </row>
    <row r="1267" spans="13:16" x14ac:dyDescent="0.25">
      <c r="M1267" s="34">
        <v>412072</v>
      </c>
      <c r="N1267" s="2" t="s">
        <v>1077</v>
      </c>
      <c r="O1267" s="2" t="s">
        <v>183</v>
      </c>
      <c r="P1267" s="2" t="str">
        <f t="shared" si="22"/>
        <v>412072-FABRICACION DE EQUIPOS DE RADIO, TELEVISION Y COMUNICACIONES-SUBCUENTA</v>
      </c>
    </row>
    <row r="1268" spans="13:16" x14ac:dyDescent="0.25">
      <c r="M1268" s="34">
        <v>412073</v>
      </c>
      <c r="N1268" s="2" t="s">
        <v>1078</v>
      </c>
      <c r="O1268" s="2" t="s">
        <v>183</v>
      </c>
      <c r="P1268" s="2" t="str">
        <f t="shared" si="22"/>
        <v>412073-FABRICACION DE APARATOS E INSTRUMENTOS MEDICOS-SUBCUENTA</v>
      </c>
    </row>
    <row r="1269" spans="13:16" x14ac:dyDescent="0.25">
      <c r="M1269" s="34">
        <v>412074</v>
      </c>
      <c r="N1269" s="2" t="s">
        <v>1079</v>
      </c>
      <c r="O1269" s="2" t="s">
        <v>183</v>
      </c>
      <c r="P1269" s="2" t="str">
        <f t="shared" si="22"/>
        <v>412074-FABRICACION DE INSTRUMENTOS DE MEDICION Y CONTROL-SUBCUENTA</v>
      </c>
    </row>
    <row r="1270" spans="13:16" x14ac:dyDescent="0.25">
      <c r="M1270" s="34">
        <v>412075</v>
      </c>
      <c r="N1270" s="2" t="s">
        <v>1080</v>
      </c>
      <c r="O1270" s="2" t="s">
        <v>183</v>
      </c>
      <c r="P1270" s="2" t="str">
        <f t="shared" si="22"/>
        <v>412075-FABRICACION DE INSTRUMENTOS DE OPTICA Y EQUIPO FOTOGRAFICO-SUBCUENTA</v>
      </c>
    </row>
    <row r="1271" spans="13:16" x14ac:dyDescent="0.25">
      <c r="M1271" s="34">
        <v>412076</v>
      </c>
      <c r="N1271" s="2" t="s">
        <v>1081</v>
      </c>
      <c r="O1271" s="2" t="s">
        <v>183</v>
      </c>
      <c r="P1271" s="2" t="str">
        <f t="shared" si="22"/>
        <v>412076-FABRICACION DE RELOJES-SUBCUENTA</v>
      </c>
    </row>
    <row r="1272" spans="13:16" x14ac:dyDescent="0.25">
      <c r="M1272" s="34">
        <v>412077</v>
      </c>
      <c r="N1272" s="2" t="s">
        <v>1082</v>
      </c>
      <c r="O1272" s="2" t="s">
        <v>183</v>
      </c>
      <c r="P1272" s="2" t="str">
        <f t="shared" si="22"/>
        <v>412077-FABRICACION DE VEHICULOS AUTOMOTORES-SUBCUENTA</v>
      </c>
    </row>
    <row r="1273" spans="13:16" x14ac:dyDescent="0.25">
      <c r="M1273" s="34">
        <v>412078</v>
      </c>
      <c r="N1273" s="2" t="s">
        <v>1083</v>
      </c>
      <c r="O1273" s="2" t="s">
        <v>183</v>
      </c>
      <c r="P1273" s="2" t="str">
        <f t="shared" si="22"/>
        <v>412078-FABRICACION DE CARROCERIAS PARA AUTOMOTORES-SUBCUENTA</v>
      </c>
    </row>
    <row r="1274" spans="13:16" x14ac:dyDescent="0.25">
      <c r="M1274" s="34">
        <v>412079</v>
      </c>
      <c r="N1274" s="2" t="s">
        <v>1084</v>
      </c>
      <c r="O1274" s="2" t="s">
        <v>183</v>
      </c>
      <c r="P1274" s="2" t="str">
        <f t="shared" si="22"/>
        <v>412079-FABRICACION DE PARTES PIEZAS Y ACCESORIOS PARA AUTOMOTORES-SUBCUENTA</v>
      </c>
    </row>
    <row r="1275" spans="13:16" x14ac:dyDescent="0.25">
      <c r="M1275" s="34">
        <v>412080</v>
      </c>
      <c r="N1275" s="2" t="s">
        <v>1085</v>
      </c>
      <c r="O1275" s="2" t="s">
        <v>183</v>
      </c>
      <c r="P1275" s="2" t="str">
        <f t="shared" si="22"/>
        <v>412080-FABRICACION Y REPARACION DE BUQUES Y OTRAS EMBARCACIONES-SUBCUENTA</v>
      </c>
    </row>
    <row r="1276" spans="13:16" x14ac:dyDescent="0.25">
      <c r="M1276" s="34">
        <v>412081</v>
      </c>
      <c r="N1276" s="2" t="s">
        <v>1086</v>
      </c>
      <c r="O1276" s="2" t="s">
        <v>183</v>
      </c>
      <c r="P1276" s="2" t="str">
        <f t="shared" si="22"/>
        <v>412081-FABRICACION DE LOCOMOTORAS Y MATERIAL RODANTE PARA FERROCARRILES-SUBCUENTA</v>
      </c>
    </row>
    <row r="1277" spans="13:16" x14ac:dyDescent="0.25">
      <c r="M1277" s="34">
        <v>412082</v>
      </c>
      <c r="N1277" s="2" t="s">
        <v>1087</v>
      </c>
      <c r="O1277" s="2" t="s">
        <v>183</v>
      </c>
      <c r="P1277" s="2" t="str">
        <f t="shared" si="22"/>
        <v>412082-FABRICACION DE AERONAVES-SUBCUENTA</v>
      </c>
    </row>
    <row r="1278" spans="13:16" x14ac:dyDescent="0.25">
      <c r="M1278" s="34">
        <v>412083</v>
      </c>
      <c r="N1278" s="2" t="s">
        <v>1088</v>
      </c>
      <c r="O1278" s="2" t="s">
        <v>183</v>
      </c>
      <c r="P1278" s="2" t="str">
        <f t="shared" si="22"/>
        <v>412083-FABRICACION DE MOTOCICLETAS-SUBCUENTA</v>
      </c>
    </row>
    <row r="1279" spans="13:16" x14ac:dyDescent="0.25">
      <c r="M1279" s="34">
        <v>412084</v>
      </c>
      <c r="N1279" s="2" t="s">
        <v>1089</v>
      </c>
      <c r="O1279" s="2" t="s">
        <v>183</v>
      </c>
      <c r="P1279" s="2" t="str">
        <f t="shared" si="22"/>
        <v>412084-FABRICACION DE BICICLETAS Y SILLAS DE RUEDAS-SUBCUENTA</v>
      </c>
    </row>
    <row r="1280" spans="13:16" x14ac:dyDescent="0.25">
      <c r="M1280" s="34">
        <v>412085</v>
      </c>
      <c r="N1280" s="2" t="s">
        <v>1090</v>
      </c>
      <c r="O1280" s="2" t="s">
        <v>183</v>
      </c>
      <c r="P1280" s="2" t="str">
        <f t="shared" si="22"/>
        <v>412085-FABRICACION DE OTROS TIPOS DE TRANSPORTE-SUBCUENTA</v>
      </c>
    </row>
    <row r="1281" spans="13:16" x14ac:dyDescent="0.25">
      <c r="M1281" s="34">
        <v>412086</v>
      </c>
      <c r="N1281" s="2" t="s">
        <v>1091</v>
      </c>
      <c r="O1281" s="2" t="s">
        <v>183</v>
      </c>
      <c r="P1281" s="2" t="str">
        <f t="shared" si="22"/>
        <v>412086-FABRICACION DE MUEBLES-SUBCUENTA</v>
      </c>
    </row>
    <row r="1282" spans="13:16" x14ac:dyDescent="0.25">
      <c r="M1282" s="34">
        <v>412087</v>
      </c>
      <c r="N1282" s="2" t="s">
        <v>1092</v>
      </c>
      <c r="O1282" s="2" t="s">
        <v>183</v>
      </c>
      <c r="P1282" s="2" t="str">
        <f t="shared" si="22"/>
        <v>412087-FABRICACION DE JOYAS Y ARTICULOS CONEXOS-SUBCUENTA</v>
      </c>
    </row>
    <row r="1283" spans="13:16" x14ac:dyDescent="0.25">
      <c r="M1283" s="34">
        <v>412088</v>
      </c>
      <c r="N1283" s="2" t="s">
        <v>1093</v>
      </c>
      <c r="O1283" s="2" t="s">
        <v>183</v>
      </c>
      <c r="P1283" s="2" t="str">
        <f t="shared" si="22"/>
        <v>412088-FABRICACION DE INSTRUMENTOS DE MUSICA-SUBCUENTA</v>
      </c>
    </row>
    <row r="1284" spans="13:16" x14ac:dyDescent="0.25">
      <c r="M1284" s="34">
        <v>412089</v>
      </c>
      <c r="N1284" s="2" t="s">
        <v>1094</v>
      </c>
      <c r="O1284" s="2" t="s">
        <v>183</v>
      </c>
      <c r="P1284" s="2" t="str">
        <f t="shared" ref="P1284:P1347" si="23">IF(AND(M1284&lt;&gt;"",N1284&lt;&gt;"",O1284&lt;&gt;""),M1284&amp;"-"&amp;N1284&amp;"-"&amp;O1284,IF(AND(M1284="",N1284&lt;&gt;"",O1284&lt;&gt;""),N1284&amp;"-"&amp;O1284,IF(AND(M1284&lt;&gt;"",N1284="",O1284&lt;&gt;""),M1284&amp;"-"&amp;O1284,IF(AND(M1284&lt;&gt;"",N1284&lt;&gt;"",O1284=""),M1284&amp;"-"&amp;N1284,IF(AND(M1284&lt;&gt;"",N1284="",O1284=""),M1284,"")))))</f>
        <v>412089-FABRICACION DE ARTICULOS Y EQUIPO PARA DEPORTE-SUBCUENTA</v>
      </c>
    </row>
    <row r="1285" spans="13:16" x14ac:dyDescent="0.25">
      <c r="M1285" s="34">
        <v>412090</v>
      </c>
      <c r="N1285" s="2" t="s">
        <v>1095</v>
      </c>
      <c r="O1285" s="2" t="s">
        <v>183</v>
      </c>
      <c r="P1285" s="2" t="str">
        <f t="shared" si="23"/>
        <v>412090-FABRICACION DE JUEGOS Y JUGUETES-SUBCUENTA</v>
      </c>
    </row>
    <row r="1286" spans="13:16" x14ac:dyDescent="0.25">
      <c r="M1286" s="34">
        <v>412091</v>
      </c>
      <c r="N1286" s="2" t="s">
        <v>1096</v>
      </c>
      <c r="O1286" s="2" t="s">
        <v>183</v>
      </c>
      <c r="P1286" s="2" t="str">
        <f t="shared" si="23"/>
        <v>412091-RECICLAMIENTO DE DESPERDICIOS-SUBCUENTA</v>
      </c>
    </row>
    <row r="1287" spans="13:16" x14ac:dyDescent="0.25">
      <c r="M1287" s="34">
        <v>412095</v>
      </c>
      <c r="N1287" s="2" t="s">
        <v>1097</v>
      </c>
      <c r="O1287" s="2" t="s">
        <v>183</v>
      </c>
      <c r="P1287" s="2" t="str">
        <f t="shared" si="23"/>
        <v>412095-PRODUCTOS DE OTRAS INDUSTRIAS MANUFACTURERAS-SUBCUENTA</v>
      </c>
    </row>
    <row r="1288" spans="13:16" x14ac:dyDescent="0.25">
      <c r="M1288" s="34">
        <v>412099</v>
      </c>
      <c r="N1288" s="2" t="s">
        <v>367</v>
      </c>
      <c r="O1288" s="2" t="s">
        <v>183</v>
      </c>
      <c r="P1288" s="2" t="str">
        <f t="shared" si="23"/>
        <v>412099-AJUSTES POR INFLACION-SUBCUENTA</v>
      </c>
    </row>
    <row r="1289" spans="13:16" x14ac:dyDescent="0.25">
      <c r="M1289" s="34">
        <v>4125</v>
      </c>
      <c r="N1289" s="2" t="s">
        <v>1098</v>
      </c>
      <c r="O1289" s="2" t="s">
        <v>182</v>
      </c>
      <c r="P1289" s="2" t="str">
        <f t="shared" si="23"/>
        <v>4125-SUMINISTRO DE ELECTRICIDAD, GAS Y AGUA-CUENTA</v>
      </c>
    </row>
    <row r="1290" spans="13:16" x14ac:dyDescent="0.25">
      <c r="M1290" s="34">
        <v>412505</v>
      </c>
      <c r="N1290" s="2" t="s">
        <v>1099</v>
      </c>
      <c r="O1290" s="2" t="s">
        <v>183</v>
      </c>
      <c r="P1290" s="2" t="str">
        <f t="shared" si="23"/>
        <v>412505-GENERACION, CAPTACION Y DISTRIBUCION DE ENERGIA ELECTRICA-SUBCUENTA</v>
      </c>
    </row>
    <row r="1291" spans="13:16" x14ac:dyDescent="0.25">
      <c r="M1291" s="34">
        <v>412510</v>
      </c>
      <c r="N1291" s="2" t="s">
        <v>1100</v>
      </c>
      <c r="O1291" s="2" t="s">
        <v>183</v>
      </c>
      <c r="P1291" s="2" t="str">
        <f t="shared" si="23"/>
        <v>412510-FABRICACION DE GAS Y DISTRIBUCION DE COMBUSTIBLES GASEOSOS-SUBCUENTA</v>
      </c>
    </row>
    <row r="1292" spans="13:16" x14ac:dyDescent="0.25">
      <c r="M1292" s="34">
        <v>412515</v>
      </c>
      <c r="N1292" s="2" t="s">
        <v>1101</v>
      </c>
      <c r="O1292" s="2" t="s">
        <v>183</v>
      </c>
      <c r="P1292" s="2" t="str">
        <f t="shared" si="23"/>
        <v>412515-CAPTACION, DEPURACION Y DISTRIBUCION DE AGUA-SUBCUENTA</v>
      </c>
    </row>
    <row r="1293" spans="13:16" x14ac:dyDescent="0.25">
      <c r="M1293" s="34">
        <v>412595</v>
      </c>
      <c r="N1293" s="2" t="s">
        <v>992</v>
      </c>
      <c r="O1293" s="2" t="s">
        <v>183</v>
      </c>
      <c r="P1293" s="2" t="str">
        <f t="shared" si="23"/>
        <v>412595-ACTIVIDADES CONEXAS-SUBCUENTA</v>
      </c>
    </row>
    <row r="1294" spans="13:16" x14ac:dyDescent="0.25">
      <c r="M1294" s="34">
        <v>412599</v>
      </c>
      <c r="N1294" s="2" t="s">
        <v>367</v>
      </c>
      <c r="O1294" s="2" t="s">
        <v>183</v>
      </c>
      <c r="P1294" s="2" t="str">
        <f t="shared" si="23"/>
        <v>412599-AJUSTES POR INFLACION-SUBCUENTA</v>
      </c>
    </row>
    <row r="1295" spans="13:16" x14ac:dyDescent="0.25">
      <c r="M1295" s="34">
        <v>4130</v>
      </c>
      <c r="N1295" s="2" t="s">
        <v>1102</v>
      </c>
      <c r="O1295" s="2" t="s">
        <v>182</v>
      </c>
      <c r="P1295" s="2" t="str">
        <f t="shared" si="23"/>
        <v>4130-CONSTRUCCION-CUENTA</v>
      </c>
    </row>
    <row r="1296" spans="13:16" x14ac:dyDescent="0.25">
      <c r="M1296" s="34">
        <v>413005</v>
      </c>
      <c r="N1296" s="2" t="s">
        <v>1103</v>
      </c>
      <c r="O1296" s="2" t="s">
        <v>183</v>
      </c>
      <c r="P1296" s="2" t="str">
        <f t="shared" si="23"/>
        <v>413005-PREPARACION DE TERRENOS-SUBCUENTA</v>
      </c>
    </row>
    <row r="1297" spans="13:16" x14ac:dyDescent="0.25">
      <c r="M1297" s="34">
        <v>413010</v>
      </c>
      <c r="N1297" s="2" t="s">
        <v>1104</v>
      </c>
      <c r="O1297" s="2" t="s">
        <v>183</v>
      </c>
      <c r="P1297" s="2" t="str">
        <f t="shared" si="23"/>
        <v>413010-CONSTRUCCION DE EDIFICIOS Y OBRAS DE INGENIERIA CIVIL-SUBCUENTA</v>
      </c>
    </row>
    <row r="1298" spans="13:16" x14ac:dyDescent="0.25">
      <c r="M1298" s="34">
        <v>413015</v>
      </c>
      <c r="N1298" s="2" t="s">
        <v>1105</v>
      </c>
      <c r="O1298" s="2" t="s">
        <v>183</v>
      </c>
      <c r="P1298" s="2" t="str">
        <f t="shared" si="23"/>
        <v>413015-ACONDICIONAMIENTO DE EDIFICIOS-SUBCUENTA</v>
      </c>
    </row>
    <row r="1299" spans="13:16" x14ac:dyDescent="0.25">
      <c r="M1299" s="34">
        <v>413020</v>
      </c>
      <c r="N1299" s="2" t="s">
        <v>1106</v>
      </c>
      <c r="O1299" s="2" t="s">
        <v>183</v>
      </c>
      <c r="P1299" s="2" t="str">
        <f t="shared" si="23"/>
        <v>413020-TERMINACION DE EDIFICACIONES-SUBCUENTA</v>
      </c>
    </row>
    <row r="1300" spans="13:16" x14ac:dyDescent="0.25">
      <c r="M1300" s="34">
        <v>413025</v>
      </c>
      <c r="N1300" s="2" t="s">
        <v>1107</v>
      </c>
      <c r="O1300" s="2" t="s">
        <v>183</v>
      </c>
      <c r="P1300" s="2" t="str">
        <f t="shared" si="23"/>
        <v>413025-ALQUILER DE EQUIPO CON OPERARIOS-SUBCUENTA</v>
      </c>
    </row>
    <row r="1301" spans="13:16" x14ac:dyDescent="0.25">
      <c r="M1301" s="34">
        <v>413095</v>
      </c>
      <c r="N1301" s="2" t="s">
        <v>992</v>
      </c>
      <c r="O1301" s="2" t="s">
        <v>183</v>
      </c>
      <c r="P1301" s="2" t="str">
        <f t="shared" si="23"/>
        <v>413095-ACTIVIDADES CONEXAS-SUBCUENTA</v>
      </c>
    </row>
    <row r="1302" spans="13:16" x14ac:dyDescent="0.25">
      <c r="M1302" s="34">
        <v>413099</v>
      </c>
      <c r="N1302" s="2" t="s">
        <v>367</v>
      </c>
      <c r="O1302" s="2" t="s">
        <v>183</v>
      </c>
      <c r="P1302" s="2" t="str">
        <f t="shared" si="23"/>
        <v>413099-AJUSTES POR INFLACION-SUBCUENTA</v>
      </c>
    </row>
    <row r="1303" spans="13:16" x14ac:dyDescent="0.25">
      <c r="M1303" s="34">
        <v>4135</v>
      </c>
      <c r="N1303" s="2" t="s">
        <v>1108</v>
      </c>
      <c r="O1303" s="2" t="s">
        <v>182</v>
      </c>
      <c r="P1303" s="2" t="str">
        <f t="shared" si="23"/>
        <v>4135-COMERCIO AL POR MAYOR Y AL POR MENOR-CUENTA</v>
      </c>
    </row>
    <row r="1304" spans="13:16" x14ac:dyDescent="0.25">
      <c r="M1304" s="34">
        <v>413502</v>
      </c>
      <c r="N1304" s="2" t="s">
        <v>1109</v>
      </c>
      <c r="O1304" s="2" t="s">
        <v>183</v>
      </c>
      <c r="P1304" s="2" t="str">
        <f t="shared" si="23"/>
        <v>413502-VENTA DE VEHICULOS AUTOMOTORES-SUBCUENTA</v>
      </c>
    </row>
    <row r="1305" spans="13:16" x14ac:dyDescent="0.25">
      <c r="M1305" s="34">
        <v>413504</v>
      </c>
      <c r="N1305" s="2" t="s">
        <v>1110</v>
      </c>
      <c r="O1305" s="2" t="s">
        <v>183</v>
      </c>
      <c r="P1305" s="2" t="str">
        <f t="shared" si="23"/>
        <v>413504-MANTENIMIENTO, REPARACION Y LAVADO DE VEHICULOS AUTOMOTORES-SUBCUENTA</v>
      </c>
    </row>
    <row r="1306" spans="13:16" x14ac:dyDescent="0.25">
      <c r="M1306" s="34">
        <v>413506</v>
      </c>
      <c r="N1306" s="2" t="s">
        <v>1111</v>
      </c>
      <c r="O1306" s="2" t="s">
        <v>183</v>
      </c>
      <c r="P1306" s="2" t="str">
        <f t="shared" si="23"/>
        <v>413506-VENTA DE PARTES, PIEZAS Y ACCESORIOS DE VEHICULOS AUTOMOTORES-SUBCUENTA</v>
      </c>
    </row>
    <row r="1307" spans="13:16" x14ac:dyDescent="0.25">
      <c r="M1307" s="34">
        <v>413508</v>
      </c>
      <c r="N1307" s="2" t="s">
        <v>1112</v>
      </c>
      <c r="O1307" s="2" t="s">
        <v>183</v>
      </c>
      <c r="P1307" s="2" t="str">
        <f t="shared" si="23"/>
        <v>413508-VENTA DE COMBUSTIBLES SOLIDOS, LIQUIDOS, GASEOSOS-SUBCUENTA</v>
      </c>
    </row>
    <row r="1308" spans="13:16" x14ac:dyDescent="0.25">
      <c r="M1308" s="34">
        <v>413510</v>
      </c>
      <c r="N1308" s="2" t="s">
        <v>1113</v>
      </c>
      <c r="O1308" s="2" t="s">
        <v>183</v>
      </c>
      <c r="P1308" s="2" t="str">
        <f t="shared" si="23"/>
        <v>413510-VENTA DE LUBRICANTES, ADITIVOS, LLANTAS Y LUJOS PARA AUTOMOTORES-SUBCUENTA</v>
      </c>
    </row>
    <row r="1309" spans="13:16" x14ac:dyDescent="0.25">
      <c r="M1309" s="34">
        <v>413512</v>
      </c>
      <c r="N1309" s="2" t="s">
        <v>1114</v>
      </c>
      <c r="O1309" s="2" t="s">
        <v>183</v>
      </c>
      <c r="P1309" s="2" t="str">
        <f t="shared" si="23"/>
        <v>413512-VENTA A CAMBIO DE RETRIBUCION O POR CONTRATA-SUBCUENTA</v>
      </c>
    </row>
    <row r="1310" spans="13:16" x14ac:dyDescent="0.25">
      <c r="M1310" s="34">
        <v>413514</v>
      </c>
      <c r="N1310" s="2" t="s">
        <v>1115</v>
      </c>
      <c r="O1310" s="2" t="s">
        <v>183</v>
      </c>
      <c r="P1310" s="2" t="str">
        <f t="shared" si="23"/>
        <v>413514-VENTA DE INSUMOS, MATERIAS PRIMAS AGROPECUARIAS Y FLORES-SUBCUENTA</v>
      </c>
    </row>
    <row r="1311" spans="13:16" x14ac:dyDescent="0.25">
      <c r="M1311" s="34">
        <v>413516</v>
      </c>
      <c r="N1311" s="2" t="s">
        <v>1116</v>
      </c>
      <c r="O1311" s="2" t="s">
        <v>183</v>
      </c>
      <c r="P1311" s="2" t="str">
        <f t="shared" si="23"/>
        <v>413516-VENTA DE OTROS INSUMOS Y MATERIAS PRIMAS NO AGROPECUARIAS-SUBCUENTA</v>
      </c>
    </row>
    <row r="1312" spans="13:16" x14ac:dyDescent="0.25">
      <c r="M1312" s="34">
        <v>413518</v>
      </c>
      <c r="N1312" s="2" t="s">
        <v>1117</v>
      </c>
      <c r="O1312" s="2" t="s">
        <v>183</v>
      </c>
      <c r="P1312" s="2" t="str">
        <f t="shared" si="23"/>
        <v>413518-VENTA DE ANIMALES VIVOS Y CUEROS-SUBCUENTA</v>
      </c>
    </row>
    <row r="1313" spans="13:16" x14ac:dyDescent="0.25">
      <c r="M1313" s="34">
        <v>413520</v>
      </c>
      <c r="N1313" s="2" t="s">
        <v>1118</v>
      </c>
      <c r="O1313" s="2" t="s">
        <v>183</v>
      </c>
      <c r="P1313" s="2" t="str">
        <f t="shared" si="23"/>
        <v>413520-VENTA DE PRODUCTOS EN ALMACENES NO ESPECIALIZADOS-SUBCUENTA</v>
      </c>
    </row>
    <row r="1314" spans="13:16" x14ac:dyDescent="0.25">
      <c r="M1314" s="34">
        <v>413522</v>
      </c>
      <c r="N1314" s="2" t="s">
        <v>1119</v>
      </c>
      <c r="O1314" s="2" t="s">
        <v>183</v>
      </c>
      <c r="P1314" s="2" t="str">
        <f t="shared" si="23"/>
        <v>413522-VENTA DE PRODUCTOS AGROPECUARIOS-SUBCUENTA</v>
      </c>
    </row>
    <row r="1315" spans="13:16" x14ac:dyDescent="0.25">
      <c r="M1315" s="34">
        <v>413524</v>
      </c>
      <c r="N1315" s="2" t="s">
        <v>1120</v>
      </c>
      <c r="O1315" s="2" t="s">
        <v>183</v>
      </c>
      <c r="P1315" s="2" t="str">
        <f t="shared" si="23"/>
        <v>413524-VENTA DE PRODUCTOS TEXTILES, DE VESTIR, DE CUERO Y CALZADO-SUBCUENTA</v>
      </c>
    </row>
    <row r="1316" spans="13:16" x14ac:dyDescent="0.25">
      <c r="M1316" s="34">
        <v>413526</v>
      </c>
      <c r="N1316" s="2" t="s">
        <v>1121</v>
      </c>
      <c r="O1316" s="2" t="s">
        <v>183</v>
      </c>
      <c r="P1316" s="2" t="str">
        <f t="shared" si="23"/>
        <v>413526-VENTA DE PAPEL Y CARTON-SUBCUENTA</v>
      </c>
    </row>
    <row r="1317" spans="13:16" x14ac:dyDescent="0.25">
      <c r="M1317" s="34">
        <v>413528</v>
      </c>
      <c r="N1317" s="2" t="s">
        <v>1122</v>
      </c>
      <c r="O1317" s="2" t="s">
        <v>183</v>
      </c>
      <c r="P1317" s="2" t="str">
        <f t="shared" si="23"/>
        <v>413528-VENTA DE LIBROS, REVISTAS, ELEMENTOS DE PAPELERIA, UTILES Y TEXTOS ESCOLARES-SUBCUENTA</v>
      </c>
    </row>
    <row r="1318" spans="13:16" x14ac:dyDescent="0.25">
      <c r="M1318" s="34">
        <v>413530</v>
      </c>
      <c r="N1318" s="2" t="s">
        <v>1123</v>
      </c>
      <c r="O1318" s="2" t="s">
        <v>183</v>
      </c>
      <c r="P1318" s="2" t="str">
        <f t="shared" si="23"/>
        <v>413530-VENTA DE JUEGOS, JUGUETES Y ARTICULOS DEPORTIVOS-SUBCUENTA</v>
      </c>
    </row>
    <row r="1319" spans="13:16" x14ac:dyDescent="0.25">
      <c r="M1319" s="34">
        <v>413532</v>
      </c>
      <c r="N1319" s="2" t="s">
        <v>1124</v>
      </c>
      <c r="O1319" s="2" t="s">
        <v>183</v>
      </c>
      <c r="P1319" s="2" t="str">
        <f t="shared" si="23"/>
        <v>413532-VENTA DE INSTRUMENTOS QUIRURGICOS Y ORTOPEDICOS-SUBCUENTA</v>
      </c>
    </row>
    <row r="1320" spans="13:16" x14ac:dyDescent="0.25">
      <c r="M1320" s="34">
        <v>413534</v>
      </c>
      <c r="N1320" s="2" t="s">
        <v>1125</v>
      </c>
      <c r="O1320" s="2" t="s">
        <v>183</v>
      </c>
      <c r="P1320" s="2" t="str">
        <f t="shared" si="23"/>
        <v>413534-VENTA DE ARTICULOS EN RELOJERIAS Y JOYERIAS-SUBCUENTA</v>
      </c>
    </row>
    <row r="1321" spans="13:16" x14ac:dyDescent="0.25">
      <c r="M1321" s="34">
        <v>413536</v>
      </c>
      <c r="N1321" s="2" t="s">
        <v>1126</v>
      </c>
      <c r="O1321" s="2" t="s">
        <v>183</v>
      </c>
      <c r="P1321" s="2" t="str">
        <f t="shared" si="23"/>
        <v>413536-VENTA DE ELECTRODOMESTICOS Y MUEBLES-SUBCUENTA</v>
      </c>
    </row>
    <row r="1322" spans="13:16" x14ac:dyDescent="0.25">
      <c r="M1322" s="34">
        <v>413538</v>
      </c>
      <c r="N1322" s="2" t="s">
        <v>1127</v>
      </c>
      <c r="O1322" s="2" t="s">
        <v>183</v>
      </c>
      <c r="P1322" s="2" t="str">
        <f t="shared" si="23"/>
        <v>413538-VENTA DE PRODUCTOS DE ASEO, FARMACEUTICOS, MEDICINALES, Y ARTICULOS DE TOCADOR-SUBCUENTA</v>
      </c>
    </row>
    <row r="1323" spans="13:16" x14ac:dyDescent="0.25">
      <c r="M1323" s="34">
        <v>413540</v>
      </c>
      <c r="N1323" s="2" t="s">
        <v>1128</v>
      </c>
      <c r="O1323" s="2" t="s">
        <v>183</v>
      </c>
      <c r="P1323" s="2" t="str">
        <f t="shared" si="23"/>
        <v>413540-VENTA DE CUBIERTOS, VAJILLAS, CRISTALERIA, PORCELANAS, CERAMICAS Y OTROS ARTICULOS DE USO DOMESTICO-SUBCUENTA</v>
      </c>
    </row>
    <row r="1324" spans="13:16" x14ac:dyDescent="0.25">
      <c r="M1324" s="34">
        <v>413542</v>
      </c>
      <c r="N1324" s="2" t="s">
        <v>1129</v>
      </c>
      <c r="O1324" s="2" t="s">
        <v>183</v>
      </c>
      <c r="P1324" s="2" t="str">
        <f t="shared" si="23"/>
        <v>413542-VENTA DE MATERIALES DE CONSTRUCCION, FONTANERIA Y CALEFACCION-SUBCUENTA</v>
      </c>
    </row>
    <row r="1325" spans="13:16" x14ac:dyDescent="0.25">
      <c r="M1325" s="34">
        <v>413544</v>
      </c>
      <c r="N1325" s="2" t="s">
        <v>1130</v>
      </c>
      <c r="O1325" s="2" t="s">
        <v>183</v>
      </c>
      <c r="P1325" s="2" t="str">
        <f t="shared" si="23"/>
        <v>413544-VENTA DE PINTURAS Y LACAS-SUBCUENTA</v>
      </c>
    </row>
    <row r="1326" spans="13:16" x14ac:dyDescent="0.25">
      <c r="M1326" s="34">
        <v>413546</v>
      </c>
      <c r="N1326" s="2" t="s">
        <v>1131</v>
      </c>
      <c r="O1326" s="2" t="s">
        <v>183</v>
      </c>
      <c r="P1326" s="2" t="str">
        <f t="shared" si="23"/>
        <v>413546-VENTA DE PRODUCTOS DE VIDRIOS Y MARQUETERIA-SUBCUENTA</v>
      </c>
    </row>
    <row r="1327" spans="13:16" x14ac:dyDescent="0.25">
      <c r="M1327" s="34">
        <v>413548</v>
      </c>
      <c r="N1327" s="2" t="s">
        <v>1132</v>
      </c>
      <c r="O1327" s="2" t="s">
        <v>183</v>
      </c>
      <c r="P1327" s="2" t="str">
        <f t="shared" si="23"/>
        <v>413548-VENTA DE HERRAMIENTAS Y ARTICULOS DE FERRETERIA-SUBCUENTA</v>
      </c>
    </row>
    <row r="1328" spans="13:16" x14ac:dyDescent="0.25">
      <c r="M1328" s="34">
        <v>413550</v>
      </c>
      <c r="N1328" s="2" t="s">
        <v>1133</v>
      </c>
      <c r="O1328" s="2" t="s">
        <v>183</v>
      </c>
      <c r="P1328" s="2" t="str">
        <f t="shared" si="23"/>
        <v>413550-VENTA DE QUIMICOS-SUBCUENTA</v>
      </c>
    </row>
    <row r="1329" spans="13:16" x14ac:dyDescent="0.25">
      <c r="M1329" s="34">
        <v>413552</v>
      </c>
      <c r="N1329" s="2" t="s">
        <v>1134</v>
      </c>
      <c r="O1329" s="2" t="s">
        <v>183</v>
      </c>
      <c r="P1329" s="2" t="str">
        <f t="shared" si="23"/>
        <v>413552-VENTA DE PRODUCTOS INTERMEDIOS, DESPERDICIOS Y DESECHOS-SUBCUENTA</v>
      </c>
    </row>
    <row r="1330" spans="13:16" x14ac:dyDescent="0.25">
      <c r="M1330" s="34">
        <v>413554</v>
      </c>
      <c r="N1330" s="2" t="s">
        <v>1135</v>
      </c>
      <c r="O1330" s="2" t="s">
        <v>183</v>
      </c>
      <c r="P1330" s="2" t="str">
        <f t="shared" si="23"/>
        <v>413554-VENTA DE MAQUINARIA, EQUIPO DE OFICINA Y PROGRAMAS DE COMPUTADOR-SUBCUENTA</v>
      </c>
    </row>
    <row r="1331" spans="13:16" x14ac:dyDescent="0.25">
      <c r="M1331" s="34">
        <v>413556</v>
      </c>
      <c r="N1331" s="2" t="s">
        <v>1136</v>
      </c>
      <c r="O1331" s="2" t="s">
        <v>183</v>
      </c>
      <c r="P1331" s="2" t="str">
        <f t="shared" si="23"/>
        <v>413556-VENTA DE ARTICULOS EN CACHARRERIAS Y MISCELANEAS-SUBCUENTA</v>
      </c>
    </row>
    <row r="1332" spans="13:16" x14ac:dyDescent="0.25">
      <c r="M1332" s="34">
        <v>413558</v>
      </c>
      <c r="N1332" s="2" t="s">
        <v>1137</v>
      </c>
      <c r="O1332" s="2" t="s">
        <v>183</v>
      </c>
      <c r="P1332" s="2" t="str">
        <f t="shared" si="23"/>
        <v>413558-VENTA DE INSTRUMENTOS MUSICALES-SUBCUENTA</v>
      </c>
    </row>
    <row r="1333" spans="13:16" x14ac:dyDescent="0.25">
      <c r="M1333" s="34">
        <v>413560</v>
      </c>
      <c r="N1333" s="2" t="s">
        <v>1138</v>
      </c>
      <c r="O1333" s="2" t="s">
        <v>183</v>
      </c>
      <c r="P1333" s="2" t="str">
        <f t="shared" si="23"/>
        <v>413560-VENTA DE ARTICULOS EN CASAS DE EMPEÑO Y PRENDERIAS-SUBCUENTA</v>
      </c>
    </row>
    <row r="1334" spans="13:16" x14ac:dyDescent="0.25">
      <c r="M1334" s="34">
        <v>413562</v>
      </c>
      <c r="N1334" s="2" t="s">
        <v>1139</v>
      </c>
      <c r="O1334" s="2" t="s">
        <v>183</v>
      </c>
      <c r="P1334" s="2" t="str">
        <f t="shared" si="23"/>
        <v>413562-VENTA DE EQUIPO FOTOGRAFICO-SUBCUENTA</v>
      </c>
    </row>
    <row r="1335" spans="13:16" x14ac:dyDescent="0.25">
      <c r="M1335" s="34">
        <v>413564</v>
      </c>
      <c r="N1335" s="2" t="s">
        <v>1140</v>
      </c>
      <c r="O1335" s="2" t="s">
        <v>183</v>
      </c>
      <c r="P1335" s="2" t="str">
        <f t="shared" si="23"/>
        <v>413564-VENTA DE EQUIPO OPTICO Y DE PRECISION-SUBCUENTA</v>
      </c>
    </row>
    <row r="1336" spans="13:16" x14ac:dyDescent="0.25">
      <c r="M1336" s="34">
        <v>413566</v>
      </c>
      <c r="N1336" s="2" t="s">
        <v>1141</v>
      </c>
      <c r="O1336" s="2" t="s">
        <v>183</v>
      </c>
      <c r="P1336" s="2" t="str">
        <f t="shared" si="23"/>
        <v>413566-VENTA DE EMPAQUES-SUBCUENTA</v>
      </c>
    </row>
    <row r="1337" spans="13:16" x14ac:dyDescent="0.25">
      <c r="M1337" s="34">
        <v>413568</v>
      </c>
      <c r="N1337" s="2" t="s">
        <v>1142</v>
      </c>
      <c r="O1337" s="2" t="s">
        <v>183</v>
      </c>
      <c r="P1337" s="2" t="str">
        <f t="shared" si="23"/>
        <v>413568-VENTA DE EQUIPO PROFESIONAL Y CIENTIFICO-SUBCUENTA</v>
      </c>
    </row>
    <row r="1338" spans="13:16" x14ac:dyDescent="0.25">
      <c r="M1338" s="34">
        <v>413570</v>
      </c>
      <c r="N1338" s="2" t="s">
        <v>1143</v>
      </c>
      <c r="O1338" s="2" t="s">
        <v>183</v>
      </c>
      <c r="P1338" s="2" t="str">
        <f t="shared" si="23"/>
        <v>413570-VENTA DE LOTERIAS, RIFAS, CHANCE, APUESTAS Y SIMILARES-SUBCUENTA</v>
      </c>
    </row>
    <row r="1339" spans="13:16" x14ac:dyDescent="0.25">
      <c r="M1339" s="34">
        <v>413572</v>
      </c>
      <c r="N1339" s="2" t="s">
        <v>1144</v>
      </c>
      <c r="O1339" s="2" t="s">
        <v>183</v>
      </c>
      <c r="P1339" s="2" t="str">
        <f t="shared" si="23"/>
        <v>413572-REPARACION DE EFECTOS PERSONALES Y ELECTRODOMESTICOS-SUBCUENTA</v>
      </c>
    </row>
    <row r="1340" spans="13:16" x14ac:dyDescent="0.25">
      <c r="M1340" s="34">
        <v>413595</v>
      </c>
      <c r="N1340" s="2" t="s">
        <v>1145</v>
      </c>
      <c r="O1340" s="2" t="s">
        <v>183</v>
      </c>
      <c r="P1340" s="2" t="str">
        <f t="shared" si="23"/>
        <v>413595-VENTA DE OTROS PRODUCTOS-SUBCUENTA</v>
      </c>
    </row>
    <row r="1341" spans="13:16" x14ac:dyDescent="0.25">
      <c r="M1341" s="34">
        <v>413599</v>
      </c>
      <c r="N1341" s="2" t="s">
        <v>367</v>
      </c>
      <c r="O1341" s="2" t="s">
        <v>183</v>
      </c>
      <c r="P1341" s="2" t="str">
        <f t="shared" si="23"/>
        <v>413599-AJUSTES POR INFLACION-SUBCUENTA</v>
      </c>
    </row>
    <row r="1342" spans="13:16" x14ac:dyDescent="0.25">
      <c r="M1342" s="34">
        <v>4140</v>
      </c>
      <c r="N1342" s="2" t="s">
        <v>1146</v>
      </c>
      <c r="O1342" s="2" t="s">
        <v>182</v>
      </c>
      <c r="P1342" s="2" t="str">
        <f t="shared" si="23"/>
        <v>4140-HOTELES Y RESTAURANTES-CUENTA</v>
      </c>
    </row>
    <row r="1343" spans="13:16" x14ac:dyDescent="0.25">
      <c r="M1343" s="34">
        <v>414005</v>
      </c>
      <c r="N1343" s="2" t="s">
        <v>1147</v>
      </c>
      <c r="O1343" s="2" t="s">
        <v>183</v>
      </c>
      <c r="P1343" s="2" t="str">
        <f t="shared" si="23"/>
        <v>414005-HOTELERIA-SUBCUENTA</v>
      </c>
    </row>
    <row r="1344" spans="13:16" x14ac:dyDescent="0.25">
      <c r="M1344" s="34">
        <v>414010</v>
      </c>
      <c r="N1344" s="2" t="s">
        <v>1148</v>
      </c>
      <c r="O1344" s="2" t="s">
        <v>183</v>
      </c>
      <c r="P1344" s="2" t="str">
        <f t="shared" si="23"/>
        <v>414010-CAMPAMENTO Y OTROS TIPOS DE HOSPEDAJE-SUBCUENTA</v>
      </c>
    </row>
    <row r="1345" spans="13:16" x14ac:dyDescent="0.25">
      <c r="M1345" s="34">
        <v>414015</v>
      </c>
      <c r="N1345" s="2" t="s">
        <v>1149</v>
      </c>
      <c r="O1345" s="2" t="s">
        <v>183</v>
      </c>
      <c r="P1345" s="2" t="str">
        <f t="shared" si="23"/>
        <v>414015-RESTAURANTES-SUBCUENTA</v>
      </c>
    </row>
    <row r="1346" spans="13:16" x14ac:dyDescent="0.25">
      <c r="M1346" s="34">
        <v>414020</v>
      </c>
      <c r="N1346" s="2" t="s">
        <v>1150</v>
      </c>
      <c r="O1346" s="2" t="s">
        <v>183</v>
      </c>
      <c r="P1346" s="2" t="str">
        <f t="shared" si="23"/>
        <v>414020-BARES Y CANTINAS-SUBCUENTA</v>
      </c>
    </row>
    <row r="1347" spans="13:16" x14ac:dyDescent="0.25">
      <c r="M1347" s="34">
        <v>414095</v>
      </c>
      <c r="N1347" s="2" t="s">
        <v>992</v>
      </c>
      <c r="O1347" s="2" t="s">
        <v>183</v>
      </c>
      <c r="P1347" s="2" t="str">
        <f t="shared" si="23"/>
        <v>414095-ACTIVIDADES CONEXAS-SUBCUENTA</v>
      </c>
    </row>
    <row r="1348" spans="13:16" x14ac:dyDescent="0.25">
      <c r="M1348" s="34">
        <v>414099</v>
      </c>
      <c r="N1348" s="2" t="s">
        <v>367</v>
      </c>
      <c r="O1348" s="2" t="s">
        <v>183</v>
      </c>
      <c r="P1348" s="2" t="str">
        <f t="shared" ref="P1348:P1411" si="24">IF(AND(M1348&lt;&gt;"",N1348&lt;&gt;"",O1348&lt;&gt;""),M1348&amp;"-"&amp;N1348&amp;"-"&amp;O1348,IF(AND(M1348="",N1348&lt;&gt;"",O1348&lt;&gt;""),N1348&amp;"-"&amp;O1348,IF(AND(M1348&lt;&gt;"",N1348="",O1348&lt;&gt;""),M1348&amp;"-"&amp;O1348,IF(AND(M1348&lt;&gt;"",N1348&lt;&gt;"",O1348=""),M1348&amp;"-"&amp;N1348,IF(AND(M1348&lt;&gt;"",N1348="",O1348=""),M1348,"")))))</f>
        <v>414099-AJUSTES POR INFLACION-SUBCUENTA</v>
      </c>
    </row>
    <row r="1349" spans="13:16" x14ac:dyDescent="0.25">
      <c r="M1349" s="34">
        <v>4145</v>
      </c>
      <c r="N1349" s="2" t="s">
        <v>1151</v>
      </c>
      <c r="O1349" s="2" t="s">
        <v>182</v>
      </c>
      <c r="P1349" s="2" t="str">
        <f t="shared" si="24"/>
        <v>4145-TRANSPORTE, ALMACENAMIENTO Y COMUNICACIONES-CUENTA</v>
      </c>
    </row>
    <row r="1350" spans="13:16" x14ac:dyDescent="0.25">
      <c r="M1350" s="34">
        <v>414505</v>
      </c>
      <c r="N1350" s="2" t="s">
        <v>1152</v>
      </c>
      <c r="O1350" s="2" t="s">
        <v>183</v>
      </c>
      <c r="P1350" s="2" t="str">
        <f t="shared" si="24"/>
        <v>414505-SERVICIO DE TRANSPORTE POR CARRETERA-SUBCUENTA</v>
      </c>
    </row>
    <row r="1351" spans="13:16" x14ac:dyDescent="0.25">
      <c r="M1351" s="34">
        <v>414510</v>
      </c>
      <c r="N1351" s="2" t="s">
        <v>1153</v>
      </c>
      <c r="O1351" s="2" t="s">
        <v>183</v>
      </c>
      <c r="P1351" s="2" t="str">
        <f t="shared" si="24"/>
        <v>414510-SERVICIO DE TRANSPORTE POR VIA FERREA-SUBCUENTA</v>
      </c>
    </row>
    <row r="1352" spans="13:16" x14ac:dyDescent="0.25">
      <c r="M1352" s="34">
        <v>414515</v>
      </c>
      <c r="N1352" s="2" t="s">
        <v>1154</v>
      </c>
      <c r="O1352" s="2" t="s">
        <v>183</v>
      </c>
      <c r="P1352" s="2" t="str">
        <f t="shared" si="24"/>
        <v>414515-SERVICIO DE TRANSPORTE POR VIA ACUATICA-SUBCUENTA</v>
      </c>
    </row>
    <row r="1353" spans="13:16" x14ac:dyDescent="0.25">
      <c r="M1353" s="34">
        <v>414520</v>
      </c>
      <c r="N1353" s="2" t="s">
        <v>1155</v>
      </c>
      <c r="O1353" s="2" t="s">
        <v>183</v>
      </c>
      <c r="P1353" s="2" t="str">
        <f t="shared" si="24"/>
        <v>414520-SERVICIO DE TRANSPORTE POR VIA AEREA-SUBCUENTA</v>
      </c>
    </row>
    <row r="1354" spans="13:16" x14ac:dyDescent="0.25">
      <c r="M1354" s="34">
        <v>414525</v>
      </c>
      <c r="N1354" s="2" t="s">
        <v>1156</v>
      </c>
      <c r="O1354" s="2" t="s">
        <v>183</v>
      </c>
      <c r="P1354" s="2" t="str">
        <f t="shared" si="24"/>
        <v>414525-SERVICIO DE TRANSPORTE POR TUBERIAS-SUBCUENTA</v>
      </c>
    </row>
    <row r="1355" spans="13:16" x14ac:dyDescent="0.25">
      <c r="M1355" s="34">
        <v>414530</v>
      </c>
      <c r="N1355" s="2" t="s">
        <v>1157</v>
      </c>
      <c r="O1355" s="2" t="s">
        <v>183</v>
      </c>
      <c r="P1355" s="2" t="str">
        <f t="shared" si="24"/>
        <v>414530-MANIPULACION DE CARGA-SUBCUENTA</v>
      </c>
    </row>
    <row r="1356" spans="13:16" x14ac:dyDescent="0.25">
      <c r="M1356" s="34">
        <v>414535</v>
      </c>
      <c r="N1356" s="2" t="s">
        <v>1158</v>
      </c>
      <c r="O1356" s="2" t="s">
        <v>183</v>
      </c>
      <c r="P1356" s="2" t="str">
        <f t="shared" si="24"/>
        <v>414535-ALMACENAMIENTO Y DEPOSITO-SUBCUENTA</v>
      </c>
    </row>
    <row r="1357" spans="13:16" x14ac:dyDescent="0.25">
      <c r="M1357" s="34">
        <v>414540</v>
      </c>
      <c r="N1357" s="2" t="s">
        <v>1159</v>
      </c>
      <c r="O1357" s="2" t="s">
        <v>183</v>
      </c>
      <c r="P1357" s="2" t="str">
        <f t="shared" si="24"/>
        <v>414540-SERVICIOS COMPLEMENTARIOS PARA EL TRANSPORTE-SUBCUENTA</v>
      </c>
    </row>
    <row r="1358" spans="13:16" x14ac:dyDescent="0.25">
      <c r="M1358" s="34">
        <v>414545</v>
      </c>
      <c r="N1358" s="2" t="s">
        <v>1160</v>
      </c>
      <c r="O1358" s="2" t="s">
        <v>183</v>
      </c>
      <c r="P1358" s="2" t="str">
        <f t="shared" si="24"/>
        <v>414545-AGENCIAS DE VIAJE-SUBCUENTA</v>
      </c>
    </row>
    <row r="1359" spans="13:16" x14ac:dyDescent="0.25">
      <c r="M1359" s="34">
        <v>414550</v>
      </c>
      <c r="N1359" s="2" t="s">
        <v>1161</v>
      </c>
      <c r="O1359" s="2" t="s">
        <v>183</v>
      </c>
      <c r="P1359" s="2" t="str">
        <f t="shared" si="24"/>
        <v>414550-OTRAS AGENCIAS DE TRANSPORTE-SUBCUENTA</v>
      </c>
    </row>
    <row r="1360" spans="13:16" x14ac:dyDescent="0.25">
      <c r="M1360" s="34">
        <v>414555</v>
      </c>
      <c r="N1360" s="2" t="s">
        <v>1162</v>
      </c>
      <c r="O1360" s="2" t="s">
        <v>183</v>
      </c>
      <c r="P1360" s="2" t="str">
        <f t="shared" si="24"/>
        <v>414555-SERVICIO POSTAL Y DE CORREO-SUBCUENTA</v>
      </c>
    </row>
    <row r="1361" spans="13:16" x14ac:dyDescent="0.25">
      <c r="M1361" s="34">
        <v>414560</v>
      </c>
      <c r="N1361" s="2" t="s">
        <v>1163</v>
      </c>
      <c r="O1361" s="2" t="s">
        <v>183</v>
      </c>
      <c r="P1361" s="2" t="str">
        <f t="shared" si="24"/>
        <v>414560-SERVICIO TELEFONICO-SUBCUENTA</v>
      </c>
    </row>
    <row r="1362" spans="13:16" x14ac:dyDescent="0.25">
      <c r="M1362" s="34">
        <v>414565</v>
      </c>
      <c r="N1362" s="2" t="s">
        <v>1164</v>
      </c>
      <c r="O1362" s="2" t="s">
        <v>183</v>
      </c>
      <c r="P1362" s="2" t="str">
        <f t="shared" si="24"/>
        <v>414565-SERVICIO DE TELEGRAFO-SUBCUENTA</v>
      </c>
    </row>
    <row r="1363" spans="13:16" x14ac:dyDescent="0.25">
      <c r="M1363" s="34">
        <v>414570</v>
      </c>
      <c r="N1363" s="2" t="s">
        <v>1165</v>
      </c>
      <c r="O1363" s="2" t="s">
        <v>183</v>
      </c>
      <c r="P1363" s="2" t="str">
        <f t="shared" si="24"/>
        <v>414570-SERVICIO DE TRANSMISION DE DATOS-SUBCUENTA</v>
      </c>
    </row>
    <row r="1364" spans="13:16" x14ac:dyDescent="0.25">
      <c r="M1364" s="34">
        <v>414575</v>
      </c>
      <c r="N1364" s="2" t="s">
        <v>1166</v>
      </c>
      <c r="O1364" s="2" t="s">
        <v>183</v>
      </c>
      <c r="P1364" s="2" t="str">
        <f t="shared" si="24"/>
        <v>414575-SERVICIO DE RADIO Y TELEVISION POR CABLE-SUBCUENTA</v>
      </c>
    </row>
    <row r="1365" spans="13:16" x14ac:dyDescent="0.25">
      <c r="M1365" s="34">
        <v>414580</v>
      </c>
      <c r="N1365" s="2" t="s">
        <v>1167</v>
      </c>
      <c r="O1365" s="2" t="s">
        <v>183</v>
      </c>
      <c r="P1365" s="2" t="str">
        <f t="shared" si="24"/>
        <v>414580-TRANSMISION DE SONIDO E IMAGENES POR CONTRATO-SUBCUENTA</v>
      </c>
    </row>
    <row r="1366" spans="13:16" x14ac:dyDescent="0.25">
      <c r="M1366" s="34">
        <v>414595</v>
      </c>
      <c r="N1366" s="2" t="s">
        <v>992</v>
      </c>
      <c r="O1366" s="2" t="s">
        <v>183</v>
      </c>
      <c r="P1366" s="2" t="str">
        <f t="shared" si="24"/>
        <v>414595-ACTIVIDADES CONEXAS-SUBCUENTA</v>
      </c>
    </row>
    <row r="1367" spans="13:16" x14ac:dyDescent="0.25">
      <c r="M1367" s="34">
        <v>414599</v>
      </c>
      <c r="N1367" s="2" t="s">
        <v>367</v>
      </c>
      <c r="O1367" s="2" t="s">
        <v>183</v>
      </c>
      <c r="P1367" s="2" t="str">
        <f t="shared" si="24"/>
        <v>414599-AJUSTES POR INFLACION-SUBCUENTA</v>
      </c>
    </row>
    <row r="1368" spans="13:16" x14ac:dyDescent="0.25">
      <c r="M1368" s="34">
        <v>4150</v>
      </c>
      <c r="N1368" s="2" t="s">
        <v>1168</v>
      </c>
      <c r="O1368" s="2" t="s">
        <v>182</v>
      </c>
      <c r="P1368" s="2" t="str">
        <f t="shared" si="24"/>
        <v>4150-ACTIVIDAD FINANCIERA-CUENTA</v>
      </c>
    </row>
    <row r="1369" spans="13:16" x14ac:dyDescent="0.25">
      <c r="M1369" s="34">
        <v>415005</v>
      </c>
      <c r="N1369" s="2" t="s">
        <v>1169</v>
      </c>
      <c r="O1369" s="2" t="s">
        <v>183</v>
      </c>
      <c r="P1369" s="2" t="str">
        <f t="shared" si="24"/>
        <v>415005-VENTA DE INVERSIONES-SUBCUENTA</v>
      </c>
    </row>
    <row r="1370" spans="13:16" x14ac:dyDescent="0.25">
      <c r="M1370" s="34">
        <v>415010</v>
      </c>
      <c r="N1370" s="2" t="s">
        <v>1170</v>
      </c>
      <c r="O1370" s="2" t="s">
        <v>183</v>
      </c>
      <c r="P1370" s="2" t="str">
        <f t="shared" si="24"/>
        <v>415010-DIVIDENDOS DE SOCIEDADES ANONIMAS Y/O ASIMILADAS-SUBCUENTA</v>
      </c>
    </row>
    <row r="1371" spans="13:16" x14ac:dyDescent="0.25">
      <c r="M1371" s="34">
        <v>415015</v>
      </c>
      <c r="N1371" s="2" t="s">
        <v>1171</v>
      </c>
      <c r="O1371" s="2" t="s">
        <v>183</v>
      </c>
      <c r="P1371" s="2" t="str">
        <f t="shared" si="24"/>
        <v>415015-PARTICIPACIONES DE SOCIEDADES LIMITADAS Y/O ASIMILADAS-SUBCUENTA</v>
      </c>
    </row>
    <row r="1372" spans="13:16" x14ac:dyDescent="0.25">
      <c r="M1372" s="34">
        <v>415020</v>
      </c>
      <c r="N1372" s="2" t="s">
        <v>431</v>
      </c>
      <c r="O1372" s="2" t="s">
        <v>183</v>
      </c>
      <c r="P1372" s="2" t="str">
        <f t="shared" si="24"/>
        <v>415020-INTERESES-SUBCUENTA</v>
      </c>
    </row>
    <row r="1373" spans="13:16" x14ac:dyDescent="0.25">
      <c r="M1373" s="34">
        <v>415025</v>
      </c>
      <c r="N1373" s="2" t="s">
        <v>1172</v>
      </c>
      <c r="O1373" s="2" t="s">
        <v>183</v>
      </c>
      <c r="P1373" s="2" t="str">
        <f t="shared" si="24"/>
        <v>415025-REAJUSTE MONETARIO - UPAC-SUBCUENTA</v>
      </c>
    </row>
    <row r="1374" spans="13:16" x14ac:dyDescent="0.25">
      <c r="M1374" s="34">
        <v>415030</v>
      </c>
      <c r="N1374" s="2" t="s">
        <v>432</v>
      </c>
      <c r="O1374" s="2" t="s">
        <v>183</v>
      </c>
      <c r="P1374" s="2" t="str">
        <f t="shared" si="24"/>
        <v>415030-COMISIONES-SUBCUENTA</v>
      </c>
    </row>
    <row r="1375" spans="13:16" x14ac:dyDescent="0.25">
      <c r="M1375" s="34">
        <v>415035</v>
      </c>
      <c r="N1375" s="2" t="s">
        <v>1173</v>
      </c>
      <c r="O1375" s="2" t="s">
        <v>183</v>
      </c>
      <c r="P1375" s="2" t="str">
        <f t="shared" si="24"/>
        <v>415035-OPERACIONES DE DESCUENTO-SUBCUENTA</v>
      </c>
    </row>
    <row r="1376" spans="13:16" x14ac:dyDescent="0.25">
      <c r="M1376" s="34">
        <v>415040</v>
      </c>
      <c r="N1376" s="2" t="s">
        <v>1174</v>
      </c>
      <c r="O1376" s="2" t="s">
        <v>183</v>
      </c>
      <c r="P1376" s="2" t="str">
        <f t="shared" si="24"/>
        <v>415040-CUOTAS DE INSCRIPCION - CONSORCIOS-SUBCUENTA</v>
      </c>
    </row>
    <row r="1377" spans="13:16" x14ac:dyDescent="0.25">
      <c r="M1377" s="34">
        <v>415045</v>
      </c>
      <c r="N1377" s="2" t="s">
        <v>1175</v>
      </c>
      <c r="O1377" s="2" t="s">
        <v>183</v>
      </c>
      <c r="P1377" s="2" t="str">
        <f t="shared" si="24"/>
        <v>415045-CUOTAS DE ADMINISTRACION - CONSORCIOS-SUBCUENTA</v>
      </c>
    </row>
    <row r="1378" spans="13:16" x14ac:dyDescent="0.25">
      <c r="M1378" s="34">
        <v>415050</v>
      </c>
      <c r="N1378" s="2" t="s">
        <v>1176</v>
      </c>
      <c r="O1378" s="2" t="s">
        <v>183</v>
      </c>
      <c r="P1378" s="2" t="str">
        <f t="shared" si="24"/>
        <v>415050-REAJUSTE DEL SISTEMA - CONSORCIOS-SUBCUENTA</v>
      </c>
    </row>
    <row r="1379" spans="13:16" x14ac:dyDescent="0.25">
      <c r="M1379" s="34">
        <v>415055</v>
      </c>
      <c r="N1379" s="2" t="s">
        <v>1177</v>
      </c>
      <c r="O1379" s="2" t="s">
        <v>183</v>
      </c>
      <c r="P1379" s="2" t="str">
        <f t="shared" si="24"/>
        <v>415055-ELIMINACION DE SUSCRIPTORES - CONSORCIOS-SUBCUENTA</v>
      </c>
    </row>
    <row r="1380" spans="13:16" x14ac:dyDescent="0.25">
      <c r="M1380" s="34">
        <v>415060</v>
      </c>
      <c r="N1380" s="2" t="s">
        <v>1178</v>
      </c>
      <c r="O1380" s="2" t="s">
        <v>183</v>
      </c>
      <c r="P1380" s="2" t="str">
        <f t="shared" si="24"/>
        <v>415060-CUOTAS DE INGRESO O RETIRO - SOCIEDAD ADMINISTRADORA-SUBCUENTA</v>
      </c>
    </row>
    <row r="1381" spans="13:16" x14ac:dyDescent="0.25">
      <c r="M1381" s="34">
        <v>415065</v>
      </c>
      <c r="N1381" s="2" t="s">
        <v>1179</v>
      </c>
      <c r="O1381" s="2" t="s">
        <v>183</v>
      </c>
      <c r="P1381" s="2" t="str">
        <f t="shared" si="24"/>
        <v>415065-SERVICIOS A COMISIONISTAS-SUBCUENTA</v>
      </c>
    </row>
    <row r="1382" spans="13:16" x14ac:dyDescent="0.25">
      <c r="M1382" s="34">
        <v>415070</v>
      </c>
      <c r="N1382" s="2" t="s">
        <v>1180</v>
      </c>
      <c r="O1382" s="2" t="s">
        <v>183</v>
      </c>
      <c r="P1382" s="2" t="str">
        <f t="shared" si="24"/>
        <v>415070-INSCRIPCIONES Y CUOTAS-SUBCUENTA</v>
      </c>
    </row>
    <row r="1383" spans="13:16" x14ac:dyDescent="0.25">
      <c r="M1383" s="34">
        <v>415075</v>
      </c>
      <c r="N1383" s="2" t="s">
        <v>1181</v>
      </c>
      <c r="O1383" s="2" t="s">
        <v>183</v>
      </c>
      <c r="P1383" s="2" t="str">
        <f t="shared" si="24"/>
        <v>415075-RECUPERACION DE GARANTIAS-SUBCUENTA</v>
      </c>
    </row>
    <row r="1384" spans="13:16" x14ac:dyDescent="0.25">
      <c r="M1384" s="34">
        <v>415095</v>
      </c>
      <c r="N1384" s="2" t="s">
        <v>992</v>
      </c>
      <c r="O1384" s="2" t="s">
        <v>183</v>
      </c>
      <c r="P1384" s="2" t="str">
        <f t="shared" si="24"/>
        <v>415095-ACTIVIDADES CONEXAS-SUBCUENTA</v>
      </c>
    </row>
    <row r="1385" spans="13:16" x14ac:dyDescent="0.25">
      <c r="M1385" s="34">
        <v>415099</v>
      </c>
      <c r="N1385" s="2" t="s">
        <v>367</v>
      </c>
      <c r="O1385" s="2" t="s">
        <v>183</v>
      </c>
      <c r="P1385" s="2" t="str">
        <f t="shared" si="24"/>
        <v>415099-AJUSTES POR INFLACION-SUBCUENTA</v>
      </c>
    </row>
    <row r="1386" spans="13:16" x14ac:dyDescent="0.25">
      <c r="M1386" s="34">
        <v>4155</v>
      </c>
      <c r="N1386" s="2" t="s">
        <v>1182</v>
      </c>
      <c r="O1386" s="2" t="s">
        <v>182</v>
      </c>
      <c r="P1386" s="2" t="str">
        <f t="shared" si="24"/>
        <v>4155-ACTIVIDADES INMOBILIARIAS, EMPRESARIALES Y DE ALQUILER-CUENTA</v>
      </c>
    </row>
    <row r="1387" spans="13:16" x14ac:dyDescent="0.25">
      <c r="M1387" s="34">
        <v>415505</v>
      </c>
      <c r="N1387" s="2" t="s">
        <v>1183</v>
      </c>
      <c r="O1387" s="2" t="s">
        <v>183</v>
      </c>
      <c r="P1387" s="2" t="str">
        <f t="shared" si="24"/>
        <v>415505-ARRENDAMIENTOS DE BIENES INMUEBLES-SUBCUENTA</v>
      </c>
    </row>
    <row r="1388" spans="13:16" x14ac:dyDescent="0.25">
      <c r="M1388" s="34">
        <v>415510</v>
      </c>
      <c r="N1388" s="2" t="s">
        <v>1184</v>
      </c>
      <c r="O1388" s="2" t="s">
        <v>183</v>
      </c>
      <c r="P1388" s="2" t="str">
        <f t="shared" si="24"/>
        <v>415510-INMOBILIARIAS POR RETRIBUCION O CONTRATA-SUBCUENTA</v>
      </c>
    </row>
    <row r="1389" spans="13:16" x14ac:dyDescent="0.25">
      <c r="M1389" s="34">
        <v>415515</v>
      </c>
      <c r="N1389" s="2" t="s">
        <v>1185</v>
      </c>
      <c r="O1389" s="2" t="s">
        <v>183</v>
      </c>
      <c r="P1389" s="2" t="str">
        <f t="shared" si="24"/>
        <v>415515-ALQUILER EQUIPO DE TRANSPORTE-SUBCUENTA</v>
      </c>
    </row>
    <row r="1390" spans="13:16" x14ac:dyDescent="0.25">
      <c r="M1390" s="34">
        <v>415520</v>
      </c>
      <c r="N1390" s="2" t="s">
        <v>1186</v>
      </c>
      <c r="O1390" s="2" t="s">
        <v>183</v>
      </c>
      <c r="P1390" s="2" t="str">
        <f t="shared" si="24"/>
        <v>415520-ALQUILER MAQUINARIA Y EQUIPO-SUBCUENTA</v>
      </c>
    </row>
    <row r="1391" spans="13:16" x14ac:dyDescent="0.25">
      <c r="M1391" s="34">
        <v>415525</v>
      </c>
      <c r="N1391" s="2" t="s">
        <v>1187</v>
      </c>
      <c r="O1391" s="2" t="s">
        <v>183</v>
      </c>
      <c r="P1391" s="2" t="str">
        <f t="shared" si="24"/>
        <v>415525-ALQUILER DE EFECTOS PERSONALES Y ENSERES DOMESTICOS-SUBCUENTA</v>
      </c>
    </row>
    <row r="1392" spans="13:16" x14ac:dyDescent="0.25">
      <c r="M1392" s="34">
        <v>415530</v>
      </c>
      <c r="N1392" s="2" t="s">
        <v>1188</v>
      </c>
      <c r="O1392" s="2" t="s">
        <v>183</v>
      </c>
      <c r="P1392" s="2" t="str">
        <f t="shared" si="24"/>
        <v>415530-CONSULTORIA EN EQUIPO Y PROGRAMAS DE INFORMATICA-SUBCUENTA</v>
      </c>
    </row>
    <row r="1393" spans="13:16" x14ac:dyDescent="0.25">
      <c r="M1393" s="34">
        <v>415535</v>
      </c>
      <c r="N1393" s="2" t="s">
        <v>1189</v>
      </c>
      <c r="O1393" s="2" t="s">
        <v>183</v>
      </c>
      <c r="P1393" s="2" t="str">
        <f t="shared" si="24"/>
        <v>415535-PROCESAMIENTO DE DATOS-SUBCUENTA</v>
      </c>
    </row>
    <row r="1394" spans="13:16" x14ac:dyDescent="0.25">
      <c r="M1394" s="34">
        <v>415540</v>
      </c>
      <c r="N1394" s="2" t="s">
        <v>1190</v>
      </c>
      <c r="O1394" s="2" t="s">
        <v>183</v>
      </c>
      <c r="P1394" s="2" t="str">
        <f t="shared" si="24"/>
        <v>415540-MANTENIMIENTO Y REPARACION DE MAQUINARIA DE OFICINA-SUBCUENTA</v>
      </c>
    </row>
    <row r="1395" spans="13:16" x14ac:dyDescent="0.25">
      <c r="M1395" s="34">
        <v>415545</v>
      </c>
      <c r="N1395" s="2" t="s">
        <v>1191</v>
      </c>
      <c r="O1395" s="2" t="s">
        <v>183</v>
      </c>
      <c r="P1395" s="2" t="str">
        <f t="shared" si="24"/>
        <v>415545-INVESTIGACIONES CIENTIFICAS Y DE DESARROLLO-SUBCUENTA</v>
      </c>
    </row>
    <row r="1396" spans="13:16" x14ac:dyDescent="0.25">
      <c r="M1396" s="34">
        <v>415550</v>
      </c>
      <c r="N1396" s="2" t="s">
        <v>1192</v>
      </c>
      <c r="O1396" s="2" t="s">
        <v>183</v>
      </c>
      <c r="P1396" s="2" t="str">
        <f t="shared" si="24"/>
        <v>415550-ACTIVIDADES EMPRESARIALES DE CONSULTORIA-SUBCUENTA</v>
      </c>
    </row>
    <row r="1397" spans="13:16" x14ac:dyDescent="0.25">
      <c r="M1397" s="34">
        <v>415555</v>
      </c>
      <c r="N1397" s="2" t="s">
        <v>1193</v>
      </c>
      <c r="O1397" s="2" t="s">
        <v>183</v>
      </c>
      <c r="P1397" s="2" t="str">
        <f t="shared" si="24"/>
        <v>415555-PUBLICIDAD-SUBCUENTA</v>
      </c>
    </row>
    <row r="1398" spans="13:16" x14ac:dyDescent="0.25">
      <c r="M1398" s="34">
        <v>415560</v>
      </c>
      <c r="N1398" s="2" t="s">
        <v>1194</v>
      </c>
      <c r="O1398" s="2" t="s">
        <v>183</v>
      </c>
      <c r="P1398" s="2" t="str">
        <f t="shared" si="24"/>
        <v>415560-DOTACION DE PERSONAL-SUBCUENTA</v>
      </c>
    </row>
    <row r="1399" spans="13:16" x14ac:dyDescent="0.25">
      <c r="M1399" s="34">
        <v>415565</v>
      </c>
      <c r="N1399" s="2" t="s">
        <v>1195</v>
      </c>
      <c r="O1399" s="2" t="s">
        <v>183</v>
      </c>
      <c r="P1399" s="2" t="str">
        <f t="shared" si="24"/>
        <v>415565-INVESTIGACION Y SEGURIDAD-SUBCUENTA</v>
      </c>
    </row>
    <row r="1400" spans="13:16" x14ac:dyDescent="0.25">
      <c r="M1400" s="34">
        <v>415570</v>
      </c>
      <c r="N1400" s="2" t="s">
        <v>1196</v>
      </c>
      <c r="O1400" s="2" t="s">
        <v>183</v>
      </c>
      <c r="P1400" s="2" t="str">
        <f t="shared" si="24"/>
        <v>415570-LIMPIEZA DE INMUEBLES-SUBCUENTA</v>
      </c>
    </row>
    <row r="1401" spans="13:16" x14ac:dyDescent="0.25">
      <c r="M1401" s="34">
        <v>415575</v>
      </c>
      <c r="N1401" s="2" t="s">
        <v>1197</v>
      </c>
      <c r="O1401" s="2" t="s">
        <v>183</v>
      </c>
      <c r="P1401" s="2" t="str">
        <f t="shared" si="24"/>
        <v>415575-FOTOGRAFIA-SUBCUENTA</v>
      </c>
    </row>
    <row r="1402" spans="13:16" x14ac:dyDescent="0.25">
      <c r="M1402" s="34">
        <v>415580</v>
      </c>
      <c r="N1402" s="2" t="s">
        <v>1198</v>
      </c>
      <c r="O1402" s="2" t="s">
        <v>183</v>
      </c>
      <c r="P1402" s="2" t="str">
        <f t="shared" si="24"/>
        <v>415580-ENVASE Y EMPAQUE-SUBCUENTA</v>
      </c>
    </row>
    <row r="1403" spans="13:16" x14ac:dyDescent="0.25">
      <c r="M1403" s="34">
        <v>415585</v>
      </c>
      <c r="N1403" s="2" t="s">
        <v>1199</v>
      </c>
      <c r="O1403" s="2" t="s">
        <v>183</v>
      </c>
      <c r="P1403" s="2" t="str">
        <f t="shared" si="24"/>
        <v>415585-FOTOCOPIADO-SUBCUENTA</v>
      </c>
    </row>
    <row r="1404" spans="13:16" x14ac:dyDescent="0.25">
      <c r="M1404" s="34">
        <v>415590</v>
      </c>
      <c r="N1404" s="2" t="s">
        <v>1200</v>
      </c>
      <c r="O1404" s="2" t="s">
        <v>183</v>
      </c>
      <c r="P1404" s="2" t="str">
        <f t="shared" si="24"/>
        <v>415590-MANTENIMIENTO Y REPARACION DE MAQUINARIA Y EQUIPO-SUBCUENTA</v>
      </c>
    </row>
    <row r="1405" spans="13:16" x14ac:dyDescent="0.25">
      <c r="M1405" s="34">
        <v>415595</v>
      </c>
      <c r="N1405" s="2" t="s">
        <v>992</v>
      </c>
      <c r="O1405" s="2" t="s">
        <v>183</v>
      </c>
      <c r="P1405" s="2" t="str">
        <f t="shared" si="24"/>
        <v>415595-ACTIVIDADES CONEXAS-SUBCUENTA</v>
      </c>
    </row>
    <row r="1406" spans="13:16" x14ac:dyDescent="0.25">
      <c r="M1406" s="34">
        <v>415599</v>
      </c>
      <c r="N1406" s="2" t="s">
        <v>367</v>
      </c>
      <c r="O1406" s="2" t="s">
        <v>183</v>
      </c>
      <c r="P1406" s="2" t="str">
        <f t="shared" si="24"/>
        <v>415599-AJUSTES POR INFLACION-SUBCUENTA</v>
      </c>
    </row>
    <row r="1407" spans="13:16" x14ac:dyDescent="0.25">
      <c r="M1407" s="34">
        <v>4160</v>
      </c>
      <c r="N1407" s="2" t="s">
        <v>1201</v>
      </c>
      <c r="O1407" s="2" t="s">
        <v>182</v>
      </c>
      <c r="P1407" s="2" t="str">
        <f t="shared" si="24"/>
        <v>4160-ENSEÑANZA-CUENTA</v>
      </c>
    </row>
    <row r="1408" spans="13:16" x14ac:dyDescent="0.25">
      <c r="M1408" s="34">
        <v>416005</v>
      </c>
      <c r="N1408" s="2" t="s">
        <v>1202</v>
      </c>
      <c r="O1408" s="2" t="s">
        <v>183</v>
      </c>
      <c r="P1408" s="2" t="str">
        <f t="shared" si="24"/>
        <v>416005-ACTIVIDADES RELACIONADAS CON LA EDUCACION-SUBCUENTA</v>
      </c>
    </row>
    <row r="1409" spans="13:16" x14ac:dyDescent="0.25">
      <c r="M1409" s="34">
        <v>416095</v>
      </c>
      <c r="N1409" s="2" t="s">
        <v>992</v>
      </c>
      <c r="O1409" s="2" t="s">
        <v>183</v>
      </c>
      <c r="P1409" s="2" t="str">
        <f t="shared" si="24"/>
        <v>416095-ACTIVIDADES CONEXAS-SUBCUENTA</v>
      </c>
    </row>
    <row r="1410" spans="13:16" x14ac:dyDescent="0.25">
      <c r="M1410" s="34">
        <v>416099</v>
      </c>
      <c r="N1410" s="2" t="s">
        <v>367</v>
      </c>
      <c r="O1410" s="2" t="s">
        <v>183</v>
      </c>
      <c r="P1410" s="2" t="str">
        <f t="shared" si="24"/>
        <v>416099-AJUSTES POR INFLACION-SUBCUENTA</v>
      </c>
    </row>
    <row r="1411" spans="13:16" x14ac:dyDescent="0.25">
      <c r="M1411" s="34">
        <v>4165</v>
      </c>
      <c r="N1411" s="2" t="s">
        <v>1203</v>
      </c>
      <c r="O1411" s="2" t="s">
        <v>182</v>
      </c>
      <c r="P1411" s="2" t="str">
        <f t="shared" si="24"/>
        <v>4165-SERVICIOS SOCIALES Y DE SALUD-CUENTA</v>
      </c>
    </row>
    <row r="1412" spans="13:16" x14ac:dyDescent="0.25">
      <c r="M1412" s="34">
        <v>416505</v>
      </c>
      <c r="N1412" s="2" t="s">
        <v>1204</v>
      </c>
      <c r="O1412" s="2" t="s">
        <v>183</v>
      </c>
      <c r="P1412" s="2" t="str">
        <f t="shared" ref="P1412:P1475" si="25">IF(AND(M1412&lt;&gt;"",N1412&lt;&gt;"",O1412&lt;&gt;""),M1412&amp;"-"&amp;N1412&amp;"-"&amp;O1412,IF(AND(M1412="",N1412&lt;&gt;"",O1412&lt;&gt;""),N1412&amp;"-"&amp;O1412,IF(AND(M1412&lt;&gt;"",N1412="",O1412&lt;&gt;""),M1412&amp;"-"&amp;O1412,IF(AND(M1412&lt;&gt;"",N1412&lt;&gt;"",O1412=""),M1412&amp;"-"&amp;N1412,IF(AND(M1412&lt;&gt;"",N1412="",O1412=""),M1412,"")))))</f>
        <v>416505-SERVICIO HOSPITALARIO-SUBCUENTA</v>
      </c>
    </row>
    <row r="1413" spans="13:16" x14ac:dyDescent="0.25">
      <c r="M1413" s="34">
        <v>416510</v>
      </c>
      <c r="N1413" s="2" t="s">
        <v>1205</v>
      </c>
      <c r="O1413" s="2" t="s">
        <v>183</v>
      </c>
      <c r="P1413" s="2" t="str">
        <f t="shared" si="25"/>
        <v>416510-SERVICIO MEDICO-SUBCUENTA</v>
      </c>
    </row>
    <row r="1414" spans="13:16" x14ac:dyDescent="0.25">
      <c r="M1414" s="34">
        <v>416515</v>
      </c>
      <c r="N1414" s="2" t="s">
        <v>1206</v>
      </c>
      <c r="O1414" s="2" t="s">
        <v>183</v>
      </c>
      <c r="P1414" s="2" t="str">
        <f t="shared" si="25"/>
        <v>416515-SERVICIO ODONTOLOGICO-SUBCUENTA</v>
      </c>
    </row>
    <row r="1415" spans="13:16" x14ac:dyDescent="0.25">
      <c r="M1415" s="34">
        <v>416520</v>
      </c>
      <c r="N1415" s="2" t="s">
        <v>1207</v>
      </c>
      <c r="O1415" s="2" t="s">
        <v>183</v>
      </c>
      <c r="P1415" s="2" t="str">
        <f t="shared" si="25"/>
        <v>416520-SERVICIO DE LABORATORIO-SUBCUENTA</v>
      </c>
    </row>
    <row r="1416" spans="13:16" x14ac:dyDescent="0.25">
      <c r="M1416" s="34">
        <v>416525</v>
      </c>
      <c r="N1416" s="2" t="s">
        <v>1208</v>
      </c>
      <c r="O1416" s="2" t="s">
        <v>183</v>
      </c>
      <c r="P1416" s="2" t="str">
        <f t="shared" si="25"/>
        <v>416525-ACTIVIDADES VETERINARIAS-SUBCUENTA</v>
      </c>
    </row>
    <row r="1417" spans="13:16" x14ac:dyDescent="0.25">
      <c r="M1417" s="34">
        <v>416530</v>
      </c>
      <c r="N1417" s="2" t="s">
        <v>1209</v>
      </c>
      <c r="O1417" s="2" t="s">
        <v>183</v>
      </c>
      <c r="P1417" s="2" t="str">
        <f t="shared" si="25"/>
        <v>416530-ACTIVIDADES DE SERVICIOS SOCIALES-SUBCUENTA</v>
      </c>
    </row>
    <row r="1418" spans="13:16" x14ac:dyDescent="0.25">
      <c r="M1418" s="34">
        <v>416595</v>
      </c>
      <c r="N1418" s="2" t="s">
        <v>992</v>
      </c>
      <c r="O1418" s="2" t="s">
        <v>183</v>
      </c>
      <c r="P1418" s="2" t="str">
        <f t="shared" si="25"/>
        <v>416595-ACTIVIDADES CONEXAS-SUBCUENTA</v>
      </c>
    </row>
    <row r="1419" spans="13:16" x14ac:dyDescent="0.25">
      <c r="M1419" s="34">
        <v>416599</v>
      </c>
      <c r="N1419" s="2" t="s">
        <v>367</v>
      </c>
      <c r="O1419" s="2" t="s">
        <v>183</v>
      </c>
      <c r="P1419" s="2" t="str">
        <f t="shared" si="25"/>
        <v>416599-AJUSTES POR INFLACION-SUBCUENTA</v>
      </c>
    </row>
    <row r="1420" spans="13:16" x14ac:dyDescent="0.25">
      <c r="M1420" s="34">
        <v>4170</v>
      </c>
      <c r="N1420" s="2" t="s">
        <v>1210</v>
      </c>
      <c r="O1420" s="2" t="s">
        <v>182</v>
      </c>
      <c r="P1420" s="2" t="str">
        <f t="shared" si="25"/>
        <v>4170-OTRAS ACTIVIDADES DE SERVICIOS COMUNITARIOS, SOCIALES Y PERSONALES-CUENTA</v>
      </c>
    </row>
    <row r="1421" spans="13:16" x14ac:dyDescent="0.25">
      <c r="M1421" s="34">
        <v>417005</v>
      </c>
      <c r="N1421" s="2" t="s">
        <v>1211</v>
      </c>
      <c r="O1421" s="2" t="s">
        <v>183</v>
      </c>
      <c r="P1421" s="2" t="str">
        <f t="shared" si="25"/>
        <v>417005-ELIMINACION DE DESPERDICIOS Y AGUAS RESIDUALES-SUBCUENTA</v>
      </c>
    </row>
    <row r="1422" spans="13:16" x14ac:dyDescent="0.25">
      <c r="M1422" s="34">
        <v>417010</v>
      </c>
      <c r="N1422" s="2" t="s">
        <v>1212</v>
      </c>
      <c r="O1422" s="2" t="s">
        <v>183</v>
      </c>
      <c r="P1422" s="2" t="str">
        <f t="shared" si="25"/>
        <v>417010-ACTIVIDADES DE ASOCIACION-SUBCUENTA</v>
      </c>
    </row>
    <row r="1423" spans="13:16" x14ac:dyDescent="0.25">
      <c r="M1423" s="34">
        <v>417015</v>
      </c>
      <c r="N1423" s="2" t="s">
        <v>1213</v>
      </c>
      <c r="O1423" s="2" t="s">
        <v>183</v>
      </c>
      <c r="P1423" s="2" t="str">
        <f t="shared" si="25"/>
        <v>417015-PRODUCCION Y DISTRIBUCION DE FILMES Y VIDEOCINTAS-SUBCUENTA</v>
      </c>
    </row>
    <row r="1424" spans="13:16" x14ac:dyDescent="0.25">
      <c r="M1424" s="34">
        <v>417020</v>
      </c>
      <c r="N1424" s="2" t="s">
        <v>1214</v>
      </c>
      <c r="O1424" s="2" t="s">
        <v>183</v>
      </c>
      <c r="P1424" s="2" t="str">
        <f t="shared" si="25"/>
        <v>417020-EXHIBICION DE FILMES Y VIDEOCINTAS-SUBCUENTA</v>
      </c>
    </row>
    <row r="1425" spans="13:16" x14ac:dyDescent="0.25">
      <c r="M1425" s="34">
        <v>417025</v>
      </c>
      <c r="N1425" s="2" t="s">
        <v>1215</v>
      </c>
      <c r="O1425" s="2" t="s">
        <v>183</v>
      </c>
      <c r="P1425" s="2" t="str">
        <f t="shared" si="25"/>
        <v>417025-ACTIVIDAD DE RADIO Y TELEVISION-SUBCUENTA</v>
      </c>
    </row>
    <row r="1426" spans="13:16" x14ac:dyDescent="0.25">
      <c r="M1426" s="34">
        <v>417030</v>
      </c>
      <c r="N1426" s="2" t="s">
        <v>1216</v>
      </c>
      <c r="O1426" s="2" t="s">
        <v>183</v>
      </c>
      <c r="P1426" s="2" t="str">
        <f t="shared" si="25"/>
        <v>417030-ACTIVIDAD TEATRAL, MUSICAL Y ARTISTICA-SUBCUENTA</v>
      </c>
    </row>
    <row r="1427" spans="13:16" x14ac:dyDescent="0.25">
      <c r="M1427" s="34">
        <v>417035</v>
      </c>
      <c r="N1427" s="2" t="s">
        <v>1217</v>
      </c>
      <c r="O1427" s="2" t="s">
        <v>183</v>
      </c>
      <c r="P1427" s="2" t="str">
        <f t="shared" si="25"/>
        <v>417035-GRABACION Y PRODUCCION DE DISCOS-SUBCUENTA</v>
      </c>
    </row>
    <row r="1428" spans="13:16" x14ac:dyDescent="0.25">
      <c r="M1428" s="34">
        <v>417040</v>
      </c>
      <c r="N1428" s="2" t="s">
        <v>1218</v>
      </c>
      <c r="O1428" s="2" t="s">
        <v>183</v>
      </c>
      <c r="P1428" s="2" t="str">
        <f t="shared" si="25"/>
        <v>417040-ENTRETENIMIENTO Y ESPARCIMIENTO-SUBCUENTA</v>
      </c>
    </row>
    <row r="1429" spans="13:16" x14ac:dyDescent="0.25">
      <c r="M1429" s="34">
        <v>417045</v>
      </c>
      <c r="N1429" s="2" t="s">
        <v>1219</v>
      </c>
      <c r="O1429" s="2" t="s">
        <v>183</v>
      </c>
      <c r="P1429" s="2" t="str">
        <f t="shared" si="25"/>
        <v>417045-AGENCIAS DE NOTICIAS-SUBCUENTA</v>
      </c>
    </row>
    <row r="1430" spans="13:16" x14ac:dyDescent="0.25">
      <c r="M1430" s="34">
        <v>417050</v>
      </c>
      <c r="N1430" s="2" t="s">
        <v>1220</v>
      </c>
      <c r="O1430" s="2" t="s">
        <v>183</v>
      </c>
      <c r="P1430" s="2" t="str">
        <f t="shared" si="25"/>
        <v>417050-LAVANDERIAS Y SIMILARES-SUBCUENTA</v>
      </c>
    </row>
    <row r="1431" spans="13:16" x14ac:dyDescent="0.25">
      <c r="M1431" s="34">
        <v>417055</v>
      </c>
      <c r="N1431" s="2" t="s">
        <v>1221</v>
      </c>
      <c r="O1431" s="2" t="s">
        <v>183</v>
      </c>
      <c r="P1431" s="2" t="str">
        <f t="shared" si="25"/>
        <v>417055-PELUQUERIAS Y SIMILARES-SUBCUENTA</v>
      </c>
    </row>
    <row r="1432" spans="13:16" x14ac:dyDescent="0.25">
      <c r="M1432" s="34">
        <v>417060</v>
      </c>
      <c r="N1432" s="2" t="s">
        <v>1222</v>
      </c>
      <c r="O1432" s="2" t="s">
        <v>183</v>
      </c>
      <c r="P1432" s="2" t="str">
        <f t="shared" si="25"/>
        <v>417060-SERVICIOS FUNERARIOS-SUBCUENTA</v>
      </c>
    </row>
    <row r="1433" spans="13:16" x14ac:dyDescent="0.25">
      <c r="M1433" s="34">
        <v>417065</v>
      </c>
      <c r="N1433" s="2" t="s">
        <v>1223</v>
      </c>
      <c r="O1433" s="2" t="s">
        <v>183</v>
      </c>
      <c r="P1433" s="2" t="str">
        <f t="shared" si="25"/>
        <v>417065-ZONAS FRANCAS-SUBCUENTA</v>
      </c>
    </row>
    <row r="1434" spans="13:16" x14ac:dyDescent="0.25">
      <c r="M1434" s="34">
        <v>417095</v>
      </c>
      <c r="N1434" s="2" t="s">
        <v>992</v>
      </c>
      <c r="O1434" s="2" t="s">
        <v>183</v>
      </c>
      <c r="P1434" s="2" t="str">
        <f t="shared" si="25"/>
        <v>417095-ACTIVIDADES CONEXAS-SUBCUENTA</v>
      </c>
    </row>
    <row r="1435" spans="13:16" x14ac:dyDescent="0.25">
      <c r="M1435" s="34">
        <v>417099</v>
      </c>
      <c r="N1435" s="2" t="s">
        <v>367</v>
      </c>
      <c r="O1435" s="2" t="s">
        <v>183</v>
      </c>
      <c r="P1435" s="2" t="str">
        <f t="shared" si="25"/>
        <v>417099-AJUSTES POR INFLACION-SUBCUENTA</v>
      </c>
    </row>
    <row r="1436" spans="13:16" x14ac:dyDescent="0.25">
      <c r="M1436" s="34">
        <v>4175</v>
      </c>
      <c r="N1436" s="2" t="s">
        <v>1224</v>
      </c>
      <c r="O1436" s="2" t="s">
        <v>182</v>
      </c>
      <c r="P1436" s="2" t="str">
        <f t="shared" si="25"/>
        <v>4175-DEVOLUCIONES, REBAJAS Y DESCUENTOS EN VENTAS (DB)-CUENTA</v>
      </c>
    </row>
    <row r="1437" spans="13:16" x14ac:dyDescent="0.25">
      <c r="M1437" s="34" t="s">
        <v>268</v>
      </c>
      <c r="N1437" s="2" t="s">
        <v>188</v>
      </c>
      <c r="O1437" s="2" t="s">
        <v>188</v>
      </c>
      <c r="P1437" s="2" t="str">
        <f t="shared" si="25"/>
        <v xml:space="preserve">417501 a 417598 </v>
      </c>
    </row>
    <row r="1438" spans="13:16" x14ac:dyDescent="0.25">
      <c r="M1438" s="34">
        <v>417599</v>
      </c>
      <c r="N1438" s="2" t="s">
        <v>367</v>
      </c>
      <c r="O1438" s="2" t="s">
        <v>183</v>
      </c>
      <c r="P1438" s="2" t="str">
        <f t="shared" si="25"/>
        <v>417599-AJUSTES POR INFLACION-SUBCUENTA</v>
      </c>
    </row>
    <row r="1439" spans="13:16" x14ac:dyDescent="0.25">
      <c r="M1439" s="34">
        <v>42</v>
      </c>
      <c r="N1439" s="2" t="s">
        <v>1225</v>
      </c>
      <c r="O1439" s="2" t="s">
        <v>181</v>
      </c>
      <c r="P1439" s="2" t="str">
        <f t="shared" si="25"/>
        <v>42-NO OPERACIONALES-GRUPO</v>
      </c>
    </row>
    <row r="1440" spans="13:16" x14ac:dyDescent="0.25">
      <c r="M1440" s="34">
        <v>4205</v>
      </c>
      <c r="N1440" s="2" t="s">
        <v>1226</v>
      </c>
      <c r="O1440" s="2" t="s">
        <v>182</v>
      </c>
      <c r="P1440" s="2" t="str">
        <f t="shared" si="25"/>
        <v>4205-OTRAS VENTAS-CUENTA</v>
      </c>
    </row>
    <row r="1441" spans="13:16" x14ac:dyDescent="0.25">
      <c r="M1441" s="34">
        <v>420505</v>
      </c>
      <c r="N1441" s="2" t="s">
        <v>1227</v>
      </c>
      <c r="O1441" s="2" t="s">
        <v>183</v>
      </c>
      <c r="P1441" s="2" t="str">
        <f t="shared" si="25"/>
        <v>420505-MATERIA PRIMA-SUBCUENTA</v>
      </c>
    </row>
    <row r="1442" spans="13:16" x14ac:dyDescent="0.25">
      <c r="M1442" s="34">
        <v>420510</v>
      </c>
      <c r="N1442" s="2" t="s">
        <v>1228</v>
      </c>
      <c r="O1442" s="2" t="s">
        <v>183</v>
      </c>
      <c r="P1442" s="2" t="str">
        <f t="shared" si="25"/>
        <v>420510-MATERIAL DE DESECHO-SUBCUENTA</v>
      </c>
    </row>
    <row r="1443" spans="13:16" x14ac:dyDescent="0.25">
      <c r="M1443" s="34">
        <v>420515</v>
      </c>
      <c r="N1443" s="2" t="s">
        <v>1229</v>
      </c>
      <c r="O1443" s="2" t="s">
        <v>183</v>
      </c>
      <c r="P1443" s="2" t="str">
        <f t="shared" si="25"/>
        <v>420515-MATERIALES VARIOS-SUBCUENTA</v>
      </c>
    </row>
    <row r="1444" spans="13:16" x14ac:dyDescent="0.25">
      <c r="M1444" s="34">
        <v>420520</v>
      </c>
      <c r="N1444" s="2" t="s">
        <v>1230</v>
      </c>
      <c r="O1444" s="2" t="s">
        <v>183</v>
      </c>
      <c r="P1444" s="2" t="str">
        <f t="shared" si="25"/>
        <v>420520-PRODUCTOS DE DIVERSIFICACION-SUBCUENTA</v>
      </c>
    </row>
    <row r="1445" spans="13:16" x14ac:dyDescent="0.25">
      <c r="M1445" s="34">
        <v>420525</v>
      </c>
      <c r="N1445" s="2" t="s">
        <v>1231</v>
      </c>
      <c r="O1445" s="2" t="s">
        <v>183</v>
      </c>
      <c r="P1445" s="2" t="str">
        <f t="shared" si="25"/>
        <v>420525-EXCEDENTES DE EXPORTACION-SUBCUENTA</v>
      </c>
    </row>
    <row r="1446" spans="13:16" x14ac:dyDescent="0.25">
      <c r="M1446" s="34">
        <v>420530</v>
      </c>
      <c r="N1446" s="2" t="s">
        <v>506</v>
      </c>
      <c r="O1446" s="2" t="s">
        <v>183</v>
      </c>
      <c r="P1446" s="2" t="str">
        <f t="shared" si="25"/>
        <v>420530-ENVASES Y EMPAQUES-SUBCUENTA</v>
      </c>
    </row>
    <row r="1447" spans="13:16" x14ac:dyDescent="0.25">
      <c r="M1447" s="34">
        <v>420535</v>
      </c>
      <c r="N1447" s="2" t="s">
        <v>1232</v>
      </c>
      <c r="O1447" s="2" t="s">
        <v>183</v>
      </c>
      <c r="P1447" s="2" t="str">
        <f t="shared" si="25"/>
        <v>420535-PRODUCTOS AGRICOLAS-SUBCUENTA</v>
      </c>
    </row>
    <row r="1448" spans="13:16" x14ac:dyDescent="0.25">
      <c r="M1448" s="34">
        <v>420540</v>
      </c>
      <c r="N1448" s="2" t="s">
        <v>1233</v>
      </c>
      <c r="O1448" s="2" t="s">
        <v>183</v>
      </c>
      <c r="P1448" s="2" t="str">
        <f t="shared" si="25"/>
        <v>420540-DE PROPAGANDA-SUBCUENTA</v>
      </c>
    </row>
    <row r="1449" spans="13:16" x14ac:dyDescent="0.25">
      <c r="M1449" s="34">
        <v>420545</v>
      </c>
      <c r="N1449" s="2" t="s">
        <v>1234</v>
      </c>
      <c r="O1449" s="2" t="s">
        <v>183</v>
      </c>
      <c r="P1449" s="2" t="str">
        <f t="shared" si="25"/>
        <v>420545-PRODUCTOS EN REMATE-SUBCUENTA</v>
      </c>
    </row>
    <row r="1450" spans="13:16" x14ac:dyDescent="0.25">
      <c r="M1450" s="34">
        <v>420550</v>
      </c>
      <c r="N1450" s="2" t="s">
        <v>494</v>
      </c>
      <c r="O1450" s="2" t="s">
        <v>183</v>
      </c>
      <c r="P1450" s="2" t="str">
        <f t="shared" si="25"/>
        <v>420550-COMBUSTIBLES Y LUBRICANTES-SUBCUENTA</v>
      </c>
    </row>
    <row r="1451" spans="13:16" x14ac:dyDescent="0.25">
      <c r="M1451" s="34">
        <v>420599</v>
      </c>
      <c r="N1451" s="2" t="s">
        <v>367</v>
      </c>
      <c r="O1451" s="2" t="s">
        <v>183</v>
      </c>
      <c r="P1451" s="2" t="str">
        <f t="shared" si="25"/>
        <v>420599-AJUSTES POR INFLACION-SUBCUENTA</v>
      </c>
    </row>
    <row r="1452" spans="13:16" x14ac:dyDescent="0.25">
      <c r="M1452" s="34">
        <v>4210</v>
      </c>
      <c r="N1452" s="2" t="s">
        <v>1235</v>
      </c>
      <c r="O1452" s="2" t="s">
        <v>182</v>
      </c>
      <c r="P1452" s="2" t="str">
        <f t="shared" si="25"/>
        <v>4210-FINANCIEROS-CUENTA</v>
      </c>
    </row>
    <row r="1453" spans="13:16" x14ac:dyDescent="0.25">
      <c r="M1453" s="34">
        <v>421005</v>
      </c>
      <c r="N1453" s="2" t="s">
        <v>431</v>
      </c>
      <c r="O1453" s="2" t="s">
        <v>183</v>
      </c>
      <c r="P1453" s="2" t="str">
        <f t="shared" si="25"/>
        <v>421005-INTERESES-SUBCUENTA</v>
      </c>
    </row>
    <row r="1454" spans="13:16" x14ac:dyDescent="0.25">
      <c r="M1454" s="34">
        <v>421010</v>
      </c>
      <c r="N1454" s="2" t="s">
        <v>1172</v>
      </c>
      <c r="O1454" s="2" t="s">
        <v>183</v>
      </c>
      <c r="P1454" s="2" t="str">
        <f t="shared" si="25"/>
        <v>421010-REAJUSTE MONETARIO - UPAC-SUBCUENTA</v>
      </c>
    </row>
    <row r="1455" spans="13:16" x14ac:dyDescent="0.25">
      <c r="M1455" s="34">
        <v>421015</v>
      </c>
      <c r="N1455" s="2" t="s">
        <v>1236</v>
      </c>
      <c r="O1455" s="2" t="s">
        <v>183</v>
      </c>
      <c r="P1455" s="2" t="str">
        <f t="shared" si="25"/>
        <v>421015-DESCUENTOS AMORTIZADOS-SUBCUENTA</v>
      </c>
    </row>
    <row r="1456" spans="13:16" x14ac:dyDescent="0.25">
      <c r="M1456" s="34">
        <v>421020</v>
      </c>
      <c r="N1456" s="2" t="s">
        <v>1237</v>
      </c>
      <c r="O1456" s="2" t="s">
        <v>183</v>
      </c>
      <c r="P1456" s="2" t="str">
        <f t="shared" si="25"/>
        <v>421020-DIFERENCIA EN CAMBIO-SUBCUENTA</v>
      </c>
    </row>
    <row r="1457" spans="13:16" x14ac:dyDescent="0.25">
      <c r="M1457" s="34">
        <v>421025</v>
      </c>
      <c r="N1457" s="2" t="s">
        <v>1238</v>
      </c>
      <c r="O1457" s="2" t="s">
        <v>183</v>
      </c>
      <c r="P1457" s="2" t="str">
        <f t="shared" si="25"/>
        <v>421025-FINANCIACION VEHICULOS-SUBCUENTA</v>
      </c>
    </row>
    <row r="1458" spans="13:16" x14ac:dyDescent="0.25">
      <c r="M1458" s="34">
        <v>421030</v>
      </c>
      <c r="N1458" s="2" t="s">
        <v>1239</v>
      </c>
      <c r="O1458" s="2" t="s">
        <v>183</v>
      </c>
      <c r="P1458" s="2" t="str">
        <f t="shared" si="25"/>
        <v>421030-FINANCIACION SISTEMAS DE VIAJES-SUBCUENTA</v>
      </c>
    </row>
    <row r="1459" spans="13:16" x14ac:dyDescent="0.25">
      <c r="M1459" s="34">
        <v>421035</v>
      </c>
      <c r="N1459" s="2" t="s">
        <v>711</v>
      </c>
      <c r="O1459" s="2" t="s">
        <v>183</v>
      </c>
      <c r="P1459" s="2" t="str">
        <f t="shared" si="25"/>
        <v>421035-ACEPTACIONES BANCARIAS-SUBCUENTA</v>
      </c>
    </row>
    <row r="1460" spans="13:16" x14ac:dyDescent="0.25">
      <c r="M1460" s="34">
        <v>421040</v>
      </c>
      <c r="N1460" s="2" t="s">
        <v>1240</v>
      </c>
      <c r="O1460" s="2" t="s">
        <v>183</v>
      </c>
      <c r="P1460" s="2" t="str">
        <f t="shared" si="25"/>
        <v>421040-DESCUENTOS COMERCIALES CONDICIONADOS-SUBCUENTA</v>
      </c>
    </row>
    <row r="1461" spans="13:16" x14ac:dyDescent="0.25">
      <c r="M1461" s="34">
        <v>421045</v>
      </c>
      <c r="N1461" s="2" t="s">
        <v>1241</v>
      </c>
      <c r="O1461" s="2" t="s">
        <v>183</v>
      </c>
      <c r="P1461" s="2" t="str">
        <f t="shared" si="25"/>
        <v>421045-DESCUENTOS BANCARIOS-SUBCUENTA</v>
      </c>
    </row>
    <row r="1462" spans="13:16" x14ac:dyDescent="0.25">
      <c r="M1462" s="34">
        <v>421050</v>
      </c>
      <c r="N1462" s="2" t="s">
        <v>1242</v>
      </c>
      <c r="O1462" s="2" t="s">
        <v>183</v>
      </c>
      <c r="P1462" s="2" t="str">
        <f t="shared" si="25"/>
        <v>421050-COMISIONES CHEQUES DE OTRAS PLAZAS-SUBCUENTA</v>
      </c>
    </row>
    <row r="1463" spans="13:16" x14ac:dyDescent="0.25">
      <c r="M1463" s="34">
        <v>421055</v>
      </c>
      <c r="N1463" s="2" t="s">
        <v>1243</v>
      </c>
      <c r="O1463" s="2" t="s">
        <v>183</v>
      </c>
      <c r="P1463" s="2" t="str">
        <f t="shared" si="25"/>
        <v>421055-MULTAS Y RECARGOS-SUBCUENTA</v>
      </c>
    </row>
    <row r="1464" spans="13:16" x14ac:dyDescent="0.25">
      <c r="M1464" s="34">
        <v>421060</v>
      </c>
      <c r="N1464" s="2" t="s">
        <v>1244</v>
      </c>
      <c r="O1464" s="2" t="s">
        <v>183</v>
      </c>
      <c r="P1464" s="2" t="str">
        <f t="shared" si="25"/>
        <v>421060-SANCIONES CHEQUES DEVUELTOS-SUBCUENTA</v>
      </c>
    </row>
    <row r="1465" spans="13:16" x14ac:dyDescent="0.25">
      <c r="M1465" s="34">
        <v>421095</v>
      </c>
      <c r="N1465" s="2" t="s">
        <v>323</v>
      </c>
      <c r="O1465" s="2" t="s">
        <v>183</v>
      </c>
      <c r="P1465" s="2" t="str">
        <f t="shared" si="25"/>
        <v>421095-OTROS-SUBCUENTA</v>
      </c>
    </row>
    <row r="1466" spans="13:16" x14ac:dyDescent="0.25">
      <c r="M1466" s="34">
        <v>421099</v>
      </c>
      <c r="N1466" s="2" t="s">
        <v>367</v>
      </c>
      <c r="O1466" s="2" t="s">
        <v>183</v>
      </c>
      <c r="P1466" s="2" t="str">
        <f t="shared" si="25"/>
        <v>421099-AJUSTES POR INFLACION-SUBCUENTA</v>
      </c>
    </row>
    <row r="1467" spans="13:16" x14ac:dyDescent="0.25">
      <c r="M1467" s="34">
        <v>4215</v>
      </c>
      <c r="N1467" s="2" t="s">
        <v>1245</v>
      </c>
      <c r="O1467" s="2" t="s">
        <v>182</v>
      </c>
      <c r="P1467" s="2" t="str">
        <f t="shared" si="25"/>
        <v>4215-DIVIDENDOS Y PARTICIPACIONES-CUENTA</v>
      </c>
    </row>
    <row r="1468" spans="13:16" x14ac:dyDescent="0.25">
      <c r="M1468" s="34">
        <v>421505</v>
      </c>
      <c r="N1468" s="2" t="s">
        <v>1246</v>
      </c>
      <c r="O1468" s="2" t="s">
        <v>183</v>
      </c>
      <c r="P1468" s="2" t="str">
        <f t="shared" si="25"/>
        <v>421505-DE SOCIEDADES ANONIMAS Y/O ASIMILADAS-SUBCUENTA</v>
      </c>
    </row>
    <row r="1469" spans="13:16" x14ac:dyDescent="0.25">
      <c r="M1469" s="34">
        <v>421510</v>
      </c>
      <c r="N1469" s="2" t="s">
        <v>1247</v>
      </c>
      <c r="O1469" s="2" t="s">
        <v>183</v>
      </c>
      <c r="P1469" s="2" t="str">
        <f t="shared" si="25"/>
        <v>421510-DE SOCIEDADES LIMITADAS Y/O ASIMILADAS-SUBCUENTA</v>
      </c>
    </row>
    <row r="1470" spans="13:16" x14ac:dyDescent="0.25">
      <c r="M1470" s="34">
        <v>421599</v>
      </c>
      <c r="N1470" s="2" t="s">
        <v>367</v>
      </c>
      <c r="O1470" s="2" t="s">
        <v>183</v>
      </c>
      <c r="P1470" s="2" t="str">
        <f t="shared" si="25"/>
        <v>421599-AJUSTES POR INFLACION-SUBCUENTA</v>
      </c>
    </row>
    <row r="1471" spans="13:16" x14ac:dyDescent="0.25">
      <c r="M1471" s="34">
        <v>4220</v>
      </c>
      <c r="N1471" s="2" t="s">
        <v>435</v>
      </c>
      <c r="O1471" s="2" t="s">
        <v>182</v>
      </c>
      <c r="P1471" s="2" t="str">
        <f t="shared" si="25"/>
        <v>4220-ARRENDAMIENTOS-CUENTA</v>
      </c>
    </row>
    <row r="1472" spans="13:16" x14ac:dyDescent="0.25">
      <c r="M1472" s="34">
        <v>422005</v>
      </c>
      <c r="N1472" s="2" t="s">
        <v>490</v>
      </c>
      <c r="O1472" s="2" t="s">
        <v>183</v>
      </c>
      <c r="P1472" s="2" t="str">
        <f t="shared" si="25"/>
        <v>422005-TERRENOS-SUBCUENTA</v>
      </c>
    </row>
    <row r="1473" spans="13:16" x14ac:dyDescent="0.25">
      <c r="M1473" s="34">
        <v>422010</v>
      </c>
      <c r="N1473" s="2" t="s">
        <v>1248</v>
      </c>
      <c r="O1473" s="2" t="s">
        <v>183</v>
      </c>
      <c r="P1473" s="2" t="str">
        <f t="shared" si="25"/>
        <v>422010-CONSTRUCCIONES Y EDIFICIOS-SUBCUENTA</v>
      </c>
    </row>
    <row r="1474" spans="13:16" x14ac:dyDescent="0.25">
      <c r="M1474" s="34">
        <v>422015</v>
      </c>
      <c r="N1474" s="2" t="s">
        <v>527</v>
      </c>
      <c r="O1474" s="2" t="s">
        <v>183</v>
      </c>
      <c r="P1474" s="2" t="str">
        <f t="shared" si="25"/>
        <v>422015-MAQUINARIA Y EQUIPO-SUBCUENTA</v>
      </c>
    </row>
    <row r="1475" spans="13:16" x14ac:dyDescent="0.25">
      <c r="M1475" s="34">
        <v>422020</v>
      </c>
      <c r="N1475" s="2" t="s">
        <v>528</v>
      </c>
      <c r="O1475" s="2" t="s">
        <v>183</v>
      </c>
      <c r="P1475" s="2" t="str">
        <f t="shared" si="25"/>
        <v>422020-EQUIPO DE OFICINA-SUBCUENTA</v>
      </c>
    </row>
    <row r="1476" spans="13:16" x14ac:dyDescent="0.25">
      <c r="M1476" s="34">
        <v>422025</v>
      </c>
      <c r="N1476" s="2" t="s">
        <v>529</v>
      </c>
      <c r="O1476" s="2" t="s">
        <v>183</v>
      </c>
      <c r="P1476" s="2" t="str">
        <f t="shared" ref="P1476:P1539" si="26">IF(AND(M1476&lt;&gt;"",N1476&lt;&gt;"",O1476&lt;&gt;""),M1476&amp;"-"&amp;N1476&amp;"-"&amp;O1476,IF(AND(M1476="",N1476&lt;&gt;"",O1476&lt;&gt;""),N1476&amp;"-"&amp;O1476,IF(AND(M1476&lt;&gt;"",N1476="",O1476&lt;&gt;""),M1476&amp;"-"&amp;O1476,IF(AND(M1476&lt;&gt;"",N1476&lt;&gt;"",O1476=""),M1476&amp;"-"&amp;N1476,IF(AND(M1476&lt;&gt;"",N1476="",O1476=""),M1476,"")))))</f>
        <v>422025-EQUIPO DE COMPUTACION Y COMUNICACION-SUBCUENTA</v>
      </c>
    </row>
    <row r="1477" spans="13:16" x14ac:dyDescent="0.25">
      <c r="M1477" s="34">
        <v>422030</v>
      </c>
      <c r="N1477" s="2" t="s">
        <v>561</v>
      </c>
      <c r="O1477" s="2" t="s">
        <v>183</v>
      </c>
      <c r="P1477" s="2" t="str">
        <f t="shared" si="26"/>
        <v>422030-EQUIPO MEDICO - CIENTIFICO-SUBCUENTA</v>
      </c>
    </row>
    <row r="1478" spans="13:16" x14ac:dyDescent="0.25">
      <c r="M1478" s="34">
        <v>422035</v>
      </c>
      <c r="N1478" s="2" t="s">
        <v>531</v>
      </c>
      <c r="O1478" s="2" t="s">
        <v>183</v>
      </c>
      <c r="P1478" s="2" t="str">
        <f t="shared" si="26"/>
        <v>422035-EQUIPO DE HOTELES Y RESTAURANTES-SUBCUENTA</v>
      </c>
    </row>
    <row r="1479" spans="13:16" x14ac:dyDescent="0.25">
      <c r="M1479" s="34">
        <v>422040</v>
      </c>
      <c r="N1479" s="2" t="s">
        <v>532</v>
      </c>
      <c r="O1479" s="2" t="s">
        <v>183</v>
      </c>
      <c r="P1479" s="2" t="str">
        <f t="shared" si="26"/>
        <v>422040-FLOTA Y EQUIPO DE TRANSPORTE-SUBCUENTA</v>
      </c>
    </row>
    <row r="1480" spans="13:16" x14ac:dyDescent="0.25">
      <c r="M1480" s="34">
        <v>422045</v>
      </c>
      <c r="N1480" s="2" t="s">
        <v>533</v>
      </c>
      <c r="O1480" s="2" t="s">
        <v>183</v>
      </c>
      <c r="P1480" s="2" t="str">
        <f t="shared" si="26"/>
        <v>422045-FLOTA Y EQUIPO FLUVIAL Y/O MARITIMO-SUBCUENTA</v>
      </c>
    </row>
    <row r="1481" spans="13:16" x14ac:dyDescent="0.25">
      <c r="M1481" s="34">
        <v>422050</v>
      </c>
      <c r="N1481" s="2" t="s">
        <v>534</v>
      </c>
      <c r="O1481" s="2" t="s">
        <v>183</v>
      </c>
      <c r="P1481" s="2" t="str">
        <f t="shared" si="26"/>
        <v>422050-FLOTA Y EQUIPO AEREO-SUBCUENTA</v>
      </c>
    </row>
    <row r="1482" spans="13:16" x14ac:dyDescent="0.25">
      <c r="M1482" s="34">
        <v>422055</v>
      </c>
      <c r="N1482" s="2" t="s">
        <v>535</v>
      </c>
      <c r="O1482" s="2" t="s">
        <v>183</v>
      </c>
      <c r="P1482" s="2" t="str">
        <f t="shared" si="26"/>
        <v>422055-FLOTA Y EQUIPO FERREO-SUBCUENTA</v>
      </c>
    </row>
    <row r="1483" spans="13:16" x14ac:dyDescent="0.25">
      <c r="M1483" s="34">
        <v>422060</v>
      </c>
      <c r="N1483" s="2" t="s">
        <v>521</v>
      </c>
      <c r="O1483" s="2" t="s">
        <v>183</v>
      </c>
      <c r="P1483" s="2" t="str">
        <f t="shared" si="26"/>
        <v>422060-ACUEDUCTOS PLANTAS Y REDES-SUBCUENTA</v>
      </c>
    </row>
    <row r="1484" spans="13:16" x14ac:dyDescent="0.25">
      <c r="M1484" s="34">
        <v>422062</v>
      </c>
      <c r="N1484" s="2" t="s">
        <v>506</v>
      </c>
      <c r="O1484" s="2" t="s">
        <v>183</v>
      </c>
      <c r="P1484" s="2" t="str">
        <f t="shared" si="26"/>
        <v>422062-ENVASES Y EMPAQUES-SUBCUENTA</v>
      </c>
    </row>
    <row r="1485" spans="13:16" x14ac:dyDescent="0.25">
      <c r="M1485" s="34">
        <v>422065</v>
      </c>
      <c r="N1485" s="2" t="s">
        <v>617</v>
      </c>
      <c r="O1485" s="2" t="s">
        <v>183</v>
      </c>
      <c r="P1485" s="2" t="str">
        <f t="shared" si="26"/>
        <v>422065-PLANTACIONES AGRICOLAS Y FORESTALES-SUBCUENTA</v>
      </c>
    </row>
    <row r="1486" spans="13:16" x14ac:dyDescent="0.25">
      <c r="M1486" s="34">
        <v>422070</v>
      </c>
      <c r="N1486" s="2" t="s">
        <v>623</v>
      </c>
      <c r="O1486" s="2" t="s">
        <v>183</v>
      </c>
      <c r="P1486" s="2" t="str">
        <f t="shared" si="26"/>
        <v>422070-AERODROMOS-SUBCUENTA</v>
      </c>
    </row>
    <row r="1487" spans="13:16" x14ac:dyDescent="0.25">
      <c r="M1487" s="34">
        <v>422075</v>
      </c>
      <c r="N1487" s="2" t="s">
        <v>487</v>
      </c>
      <c r="O1487" s="2" t="s">
        <v>183</v>
      </c>
      <c r="P1487" s="2" t="str">
        <f t="shared" si="26"/>
        <v>422075-SEMOVIENTES-SUBCUENTA</v>
      </c>
    </row>
    <row r="1488" spans="13:16" x14ac:dyDescent="0.25">
      <c r="M1488" s="34">
        <v>422099</v>
      </c>
      <c r="N1488" s="2" t="s">
        <v>367</v>
      </c>
      <c r="O1488" s="2" t="s">
        <v>183</v>
      </c>
      <c r="P1488" s="2" t="str">
        <f t="shared" si="26"/>
        <v>422099-AJUSTES POR INFLACION-SUBCUENTA</v>
      </c>
    </row>
    <row r="1489" spans="13:16" x14ac:dyDescent="0.25">
      <c r="M1489" s="34">
        <v>4225</v>
      </c>
      <c r="N1489" s="2" t="s">
        <v>432</v>
      </c>
      <c r="O1489" s="2" t="s">
        <v>182</v>
      </c>
      <c r="P1489" s="2" t="str">
        <f t="shared" si="26"/>
        <v>4225-COMISIONES-CUENTA</v>
      </c>
    </row>
    <row r="1490" spans="13:16" x14ac:dyDescent="0.25">
      <c r="M1490" s="34">
        <v>422505</v>
      </c>
      <c r="N1490" s="2" t="s">
        <v>1249</v>
      </c>
      <c r="O1490" s="2" t="s">
        <v>183</v>
      </c>
      <c r="P1490" s="2" t="str">
        <f t="shared" si="26"/>
        <v>422505-SOBRE INVERSIONES-SUBCUENTA</v>
      </c>
    </row>
    <row r="1491" spans="13:16" x14ac:dyDescent="0.25">
      <c r="M1491" s="34">
        <v>422510</v>
      </c>
      <c r="N1491" s="2" t="s">
        <v>1250</v>
      </c>
      <c r="O1491" s="2" t="s">
        <v>183</v>
      </c>
      <c r="P1491" s="2" t="str">
        <f t="shared" si="26"/>
        <v>422510-DE CONCESIONARIOS-SUBCUENTA</v>
      </c>
    </row>
    <row r="1492" spans="13:16" x14ac:dyDescent="0.25">
      <c r="M1492" s="34">
        <v>422515</v>
      </c>
      <c r="N1492" s="2" t="s">
        <v>1251</v>
      </c>
      <c r="O1492" s="2" t="s">
        <v>183</v>
      </c>
      <c r="P1492" s="2" t="str">
        <f t="shared" si="26"/>
        <v>422515-DE ACTIVIDADES FINANCIERAS-SUBCUENTA</v>
      </c>
    </row>
    <row r="1493" spans="13:16" x14ac:dyDescent="0.25">
      <c r="M1493" s="34">
        <v>422520</v>
      </c>
      <c r="N1493" s="2" t="s">
        <v>1252</v>
      </c>
      <c r="O1493" s="2" t="s">
        <v>183</v>
      </c>
      <c r="P1493" s="2" t="str">
        <f t="shared" si="26"/>
        <v>422520-POR VENTA DE SERVICIOS DE TALLER-SUBCUENTA</v>
      </c>
    </row>
    <row r="1494" spans="13:16" x14ac:dyDescent="0.25">
      <c r="M1494" s="34">
        <v>422525</v>
      </c>
      <c r="N1494" s="2" t="s">
        <v>1253</v>
      </c>
      <c r="O1494" s="2" t="s">
        <v>183</v>
      </c>
      <c r="P1494" s="2" t="str">
        <f t="shared" si="26"/>
        <v>422525-POR VENTA DE SEGUROS-SUBCUENTA</v>
      </c>
    </row>
    <row r="1495" spans="13:16" x14ac:dyDescent="0.25">
      <c r="M1495" s="34">
        <v>422530</v>
      </c>
      <c r="N1495" s="2" t="s">
        <v>1254</v>
      </c>
      <c r="O1495" s="2" t="s">
        <v>183</v>
      </c>
      <c r="P1495" s="2" t="str">
        <f t="shared" si="26"/>
        <v>422530-POR INGRESOS PARA TERCEROS-SUBCUENTA</v>
      </c>
    </row>
    <row r="1496" spans="13:16" x14ac:dyDescent="0.25">
      <c r="M1496" s="34">
        <v>422535</v>
      </c>
      <c r="N1496" s="2" t="s">
        <v>1255</v>
      </c>
      <c r="O1496" s="2" t="s">
        <v>183</v>
      </c>
      <c r="P1496" s="2" t="str">
        <f t="shared" si="26"/>
        <v>422535-POR DISTRIBUCION DE PELICULAS-SUBCUENTA</v>
      </c>
    </row>
    <row r="1497" spans="13:16" x14ac:dyDescent="0.25">
      <c r="M1497" s="34">
        <v>422540</v>
      </c>
      <c r="N1497" s="2" t="s">
        <v>650</v>
      </c>
      <c r="O1497" s="2" t="s">
        <v>183</v>
      </c>
      <c r="P1497" s="2" t="str">
        <f t="shared" si="26"/>
        <v>422540-DERECHOS DE AUTOR-SUBCUENTA</v>
      </c>
    </row>
    <row r="1498" spans="13:16" x14ac:dyDescent="0.25">
      <c r="M1498" s="34">
        <v>422545</v>
      </c>
      <c r="N1498" s="2" t="s">
        <v>1256</v>
      </c>
      <c r="O1498" s="2" t="s">
        <v>183</v>
      </c>
      <c r="P1498" s="2" t="str">
        <f t="shared" si="26"/>
        <v>422545-DERECHOS DE PROGRAMACION-SUBCUENTA</v>
      </c>
    </row>
    <row r="1499" spans="13:16" x14ac:dyDescent="0.25">
      <c r="M1499" s="34">
        <v>422599</v>
      </c>
      <c r="N1499" s="2" t="s">
        <v>367</v>
      </c>
      <c r="O1499" s="2" t="s">
        <v>183</v>
      </c>
      <c r="P1499" s="2" t="str">
        <f t="shared" si="26"/>
        <v>422599-AJUSTES POR INFLACION-SUBCUENTA</v>
      </c>
    </row>
    <row r="1500" spans="13:16" x14ac:dyDescent="0.25">
      <c r="M1500" s="34">
        <v>4230</v>
      </c>
      <c r="N1500" s="2" t="s">
        <v>433</v>
      </c>
      <c r="O1500" s="2" t="s">
        <v>182</v>
      </c>
      <c r="P1500" s="2" t="str">
        <f t="shared" si="26"/>
        <v>4230-HONORARIOS-CUENTA</v>
      </c>
    </row>
    <row r="1501" spans="13:16" x14ac:dyDescent="0.25">
      <c r="M1501" s="34">
        <v>423005</v>
      </c>
      <c r="N1501" s="2" t="s">
        <v>1257</v>
      </c>
      <c r="O1501" s="2" t="s">
        <v>183</v>
      </c>
      <c r="P1501" s="2" t="str">
        <f t="shared" si="26"/>
        <v>423005-ASESORIAS-SUBCUENTA</v>
      </c>
    </row>
    <row r="1502" spans="13:16" x14ac:dyDescent="0.25">
      <c r="M1502" s="34">
        <v>423010</v>
      </c>
      <c r="N1502" s="2" t="s">
        <v>1258</v>
      </c>
      <c r="O1502" s="2" t="s">
        <v>183</v>
      </c>
      <c r="P1502" s="2" t="str">
        <f t="shared" si="26"/>
        <v>423010-ASISTENCIA TECNICA-SUBCUENTA</v>
      </c>
    </row>
    <row r="1503" spans="13:16" x14ac:dyDescent="0.25">
      <c r="M1503" s="34">
        <v>423015</v>
      </c>
      <c r="N1503" s="2" t="s">
        <v>1259</v>
      </c>
      <c r="O1503" s="2" t="s">
        <v>183</v>
      </c>
      <c r="P1503" s="2" t="str">
        <f t="shared" si="26"/>
        <v>423015-ADMINISTRACION DE VINCULADAS-SUBCUENTA</v>
      </c>
    </row>
    <row r="1504" spans="13:16" x14ac:dyDescent="0.25">
      <c r="M1504" s="34">
        <v>423099</v>
      </c>
      <c r="N1504" s="2" t="s">
        <v>367</v>
      </c>
      <c r="O1504" s="2" t="s">
        <v>183</v>
      </c>
      <c r="P1504" s="2" t="str">
        <f t="shared" si="26"/>
        <v>423099-AJUSTES POR INFLACION-SUBCUENTA</v>
      </c>
    </row>
    <row r="1505" spans="13:16" x14ac:dyDescent="0.25">
      <c r="M1505" s="34">
        <v>4235</v>
      </c>
      <c r="N1505" s="2" t="s">
        <v>434</v>
      </c>
      <c r="O1505" s="2" t="s">
        <v>182</v>
      </c>
      <c r="P1505" s="2" t="str">
        <f t="shared" si="26"/>
        <v>4235-SERVICIOS-CUENTA</v>
      </c>
    </row>
    <row r="1506" spans="13:16" x14ac:dyDescent="0.25">
      <c r="M1506" s="34">
        <v>423505</v>
      </c>
      <c r="N1506" s="2" t="s">
        <v>1260</v>
      </c>
      <c r="O1506" s="2" t="s">
        <v>183</v>
      </c>
      <c r="P1506" s="2" t="str">
        <f t="shared" si="26"/>
        <v>423505-DE BASCULA-SUBCUENTA</v>
      </c>
    </row>
    <row r="1507" spans="13:16" x14ac:dyDescent="0.25">
      <c r="M1507" s="34">
        <v>423510</v>
      </c>
      <c r="N1507" s="2" t="s">
        <v>1261</v>
      </c>
      <c r="O1507" s="2" t="s">
        <v>183</v>
      </c>
      <c r="P1507" s="2" t="str">
        <f t="shared" si="26"/>
        <v>423510-DE TRANSPORTE-SUBCUENTA</v>
      </c>
    </row>
    <row r="1508" spans="13:16" x14ac:dyDescent="0.25">
      <c r="M1508" s="34">
        <v>423515</v>
      </c>
      <c r="N1508" s="2" t="s">
        <v>1262</v>
      </c>
      <c r="O1508" s="2" t="s">
        <v>183</v>
      </c>
      <c r="P1508" s="2" t="str">
        <f t="shared" si="26"/>
        <v>423515-DE PRENSA-SUBCUENTA</v>
      </c>
    </row>
    <row r="1509" spans="13:16" x14ac:dyDescent="0.25">
      <c r="M1509" s="34">
        <v>423520</v>
      </c>
      <c r="N1509" s="2" t="s">
        <v>843</v>
      </c>
      <c r="O1509" s="2" t="s">
        <v>183</v>
      </c>
      <c r="P1509" s="2" t="str">
        <f t="shared" si="26"/>
        <v>423520-ADMINISTRATIVOS-SUBCUENTA</v>
      </c>
    </row>
    <row r="1510" spans="13:16" x14ac:dyDescent="0.25">
      <c r="M1510" s="34">
        <v>423525</v>
      </c>
      <c r="N1510" s="2" t="s">
        <v>1263</v>
      </c>
      <c r="O1510" s="2" t="s">
        <v>183</v>
      </c>
      <c r="P1510" s="2" t="str">
        <f t="shared" si="26"/>
        <v>423525-TECNICOS-SUBCUENTA</v>
      </c>
    </row>
    <row r="1511" spans="13:16" x14ac:dyDescent="0.25">
      <c r="M1511" s="34">
        <v>423530</v>
      </c>
      <c r="N1511" s="2" t="s">
        <v>1264</v>
      </c>
      <c r="O1511" s="2" t="s">
        <v>183</v>
      </c>
      <c r="P1511" s="2" t="str">
        <f t="shared" si="26"/>
        <v>423530-DE COMPUTACION-SUBCUENTA</v>
      </c>
    </row>
    <row r="1512" spans="13:16" x14ac:dyDescent="0.25">
      <c r="M1512" s="34">
        <v>423535</v>
      </c>
      <c r="N1512" s="2" t="s">
        <v>1265</v>
      </c>
      <c r="O1512" s="2" t="s">
        <v>183</v>
      </c>
      <c r="P1512" s="2" t="str">
        <f t="shared" si="26"/>
        <v>423535-DE TELEFAX-SUBCUENTA</v>
      </c>
    </row>
    <row r="1513" spans="13:16" x14ac:dyDescent="0.25">
      <c r="M1513" s="34">
        <v>423540</v>
      </c>
      <c r="N1513" s="2" t="s">
        <v>1266</v>
      </c>
      <c r="O1513" s="2" t="s">
        <v>183</v>
      </c>
      <c r="P1513" s="2" t="str">
        <f t="shared" si="26"/>
        <v>423540-TALLER DE VEHICULOS-SUBCUENTA</v>
      </c>
    </row>
    <row r="1514" spans="13:16" x14ac:dyDescent="0.25">
      <c r="M1514" s="34">
        <v>423545</v>
      </c>
      <c r="N1514" s="2" t="s">
        <v>1267</v>
      </c>
      <c r="O1514" s="2" t="s">
        <v>183</v>
      </c>
      <c r="P1514" s="2" t="str">
        <f t="shared" si="26"/>
        <v>423545-DE RECEPCION DE AERONAVES-SUBCUENTA</v>
      </c>
    </row>
    <row r="1515" spans="13:16" x14ac:dyDescent="0.25">
      <c r="M1515" s="34">
        <v>423550</v>
      </c>
      <c r="N1515" s="2" t="s">
        <v>1268</v>
      </c>
      <c r="O1515" s="2" t="s">
        <v>183</v>
      </c>
      <c r="P1515" s="2" t="str">
        <f t="shared" si="26"/>
        <v>423550-DE TRANSPORTE PROGRAMA GAS NATURAL-SUBCUENTA</v>
      </c>
    </row>
    <row r="1516" spans="13:16" x14ac:dyDescent="0.25">
      <c r="M1516" s="34">
        <v>423555</v>
      </c>
      <c r="N1516" s="2" t="s">
        <v>1269</v>
      </c>
      <c r="O1516" s="2" t="s">
        <v>183</v>
      </c>
      <c r="P1516" s="2" t="str">
        <f t="shared" si="26"/>
        <v>423555-POR CONTRATOS-SUBCUENTA</v>
      </c>
    </row>
    <row r="1517" spans="13:16" x14ac:dyDescent="0.25">
      <c r="M1517" s="34">
        <v>423560</v>
      </c>
      <c r="N1517" s="2" t="s">
        <v>1270</v>
      </c>
      <c r="O1517" s="2" t="s">
        <v>183</v>
      </c>
      <c r="P1517" s="2" t="str">
        <f t="shared" si="26"/>
        <v>423560-DE TRILLLA-SUBCUENTA</v>
      </c>
    </row>
    <row r="1518" spans="13:16" x14ac:dyDescent="0.25">
      <c r="M1518" s="34">
        <v>423565</v>
      </c>
      <c r="N1518" s="2" t="s">
        <v>1271</v>
      </c>
      <c r="O1518" s="2" t="s">
        <v>183</v>
      </c>
      <c r="P1518" s="2" t="str">
        <f t="shared" si="26"/>
        <v>423565-DE MANTENIMIENTO-SUBCUENTA</v>
      </c>
    </row>
    <row r="1519" spans="13:16" x14ac:dyDescent="0.25">
      <c r="M1519" s="34">
        <v>423570</v>
      </c>
      <c r="N1519" s="2" t="s">
        <v>1272</v>
      </c>
      <c r="O1519" s="2" t="s">
        <v>183</v>
      </c>
      <c r="P1519" s="2" t="str">
        <f t="shared" si="26"/>
        <v>423570-AL PERSONAL-SUBCUENTA</v>
      </c>
    </row>
    <row r="1520" spans="13:16" x14ac:dyDescent="0.25">
      <c r="M1520" s="34">
        <v>423575</v>
      </c>
      <c r="N1520" s="2" t="s">
        <v>1273</v>
      </c>
      <c r="O1520" s="2" t="s">
        <v>183</v>
      </c>
      <c r="P1520" s="2" t="str">
        <f t="shared" si="26"/>
        <v>423575-DE CASINO-SUBCUENTA</v>
      </c>
    </row>
    <row r="1521" spans="13:16" x14ac:dyDescent="0.25">
      <c r="M1521" s="34">
        <v>423580</v>
      </c>
      <c r="N1521" s="2" t="s">
        <v>1274</v>
      </c>
      <c r="O1521" s="2" t="s">
        <v>183</v>
      </c>
      <c r="P1521" s="2" t="str">
        <f t="shared" si="26"/>
        <v>423580-FLETES-SUBCUENTA</v>
      </c>
    </row>
    <row r="1522" spans="13:16" x14ac:dyDescent="0.25">
      <c r="M1522" s="34">
        <v>423585</v>
      </c>
      <c r="N1522" s="2" t="s">
        <v>1275</v>
      </c>
      <c r="O1522" s="2" t="s">
        <v>183</v>
      </c>
      <c r="P1522" s="2" t="str">
        <f t="shared" si="26"/>
        <v>423585-ENTRE COMPAÑIAS-SUBCUENTA</v>
      </c>
    </row>
    <row r="1523" spans="13:16" x14ac:dyDescent="0.25">
      <c r="M1523" s="34">
        <v>423595</v>
      </c>
      <c r="N1523" s="2" t="s">
        <v>323</v>
      </c>
      <c r="O1523" s="2" t="s">
        <v>183</v>
      </c>
      <c r="P1523" s="2" t="str">
        <f t="shared" si="26"/>
        <v>423595-OTROS-SUBCUENTA</v>
      </c>
    </row>
    <row r="1524" spans="13:16" x14ac:dyDescent="0.25">
      <c r="M1524" s="34">
        <v>423599</v>
      </c>
      <c r="N1524" s="2" t="s">
        <v>367</v>
      </c>
      <c r="O1524" s="2" t="s">
        <v>183</v>
      </c>
      <c r="P1524" s="2" t="str">
        <f t="shared" si="26"/>
        <v>423599-AJUSTES POR INFLACION-SUBCUENTA</v>
      </c>
    </row>
    <row r="1525" spans="13:16" x14ac:dyDescent="0.25">
      <c r="M1525" s="34">
        <v>4240</v>
      </c>
      <c r="N1525" s="2" t="s">
        <v>1276</v>
      </c>
      <c r="O1525" s="2" t="s">
        <v>182</v>
      </c>
      <c r="P1525" s="2" t="str">
        <f t="shared" si="26"/>
        <v>4240-UTILIDAD EN VENTA DE INVERSIONES-CUENTA</v>
      </c>
    </row>
    <row r="1526" spans="13:16" x14ac:dyDescent="0.25">
      <c r="M1526" s="34">
        <v>424005</v>
      </c>
      <c r="N1526" s="2" t="s">
        <v>320</v>
      </c>
      <c r="O1526" s="2" t="s">
        <v>183</v>
      </c>
      <c r="P1526" s="2" t="str">
        <f t="shared" si="26"/>
        <v>424005-ACCIONES-SUBCUENTA</v>
      </c>
    </row>
    <row r="1527" spans="13:16" x14ac:dyDescent="0.25">
      <c r="M1527" s="34">
        <v>424010</v>
      </c>
      <c r="N1527" s="2" t="s">
        <v>321</v>
      </c>
      <c r="O1527" s="2" t="s">
        <v>183</v>
      </c>
      <c r="P1527" s="2" t="str">
        <f t="shared" si="26"/>
        <v>424010-CUOTAS O PARTES DE INTERES SOCIAL-SUBCUENTA</v>
      </c>
    </row>
    <row r="1528" spans="13:16" x14ac:dyDescent="0.25">
      <c r="M1528" s="34">
        <v>424015</v>
      </c>
      <c r="N1528" s="2" t="s">
        <v>322</v>
      </c>
      <c r="O1528" s="2" t="s">
        <v>183</v>
      </c>
      <c r="P1528" s="2" t="str">
        <f t="shared" si="26"/>
        <v>424015-BONOS-SUBCUENTA</v>
      </c>
    </row>
    <row r="1529" spans="13:16" x14ac:dyDescent="0.25">
      <c r="M1529" s="34">
        <v>424020</v>
      </c>
      <c r="N1529" s="2" t="s">
        <v>324</v>
      </c>
      <c r="O1529" s="2" t="s">
        <v>183</v>
      </c>
      <c r="P1529" s="2" t="str">
        <f t="shared" si="26"/>
        <v>424020-CEDULAS-SUBCUENTA</v>
      </c>
    </row>
    <row r="1530" spans="13:16" x14ac:dyDescent="0.25">
      <c r="M1530" s="34">
        <v>424025</v>
      </c>
      <c r="N1530" s="2" t="s">
        <v>329</v>
      </c>
      <c r="O1530" s="2" t="s">
        <v>183</v>
      </c>
      <c r="P1530" s="2" t="str">
        <f t="shared" si="26"/>
        <v>424025-CERTIFICADOS-SUBCUENTA</v>
      </c>
    </row>
    <row r="1531" spans="13:16" x14ac:dyDescent="0.25">
      <c r="M1531" s="34">
        <v>424030</v>
      </c>
      <c r="N1531" s="2" t="s">
        <v>339</v>
      </c>
      <c r="O1531" s="2" t="s">
        <v>183</v>
      </c>
      <c r="P1531" s="2" t="str">
        <f t="shared" si="26"/>
        <v>424030-PAPELES COMERCIALES-SUBCUENTA</v>
      </c>
    </row>
    <row r="1532" spans="13:16" x14ac:dyDescent="0.25">
      <c r="M1532" s="34">
        <v>424035</v>
      </c>
      <c r="N1532" s="2" t="s">
        <v>343</v>
      </c>
      <c r="O1532" s="2" t="s">
        <v>183</v>
      </c>
      <c r="P1532" s="2" t="str">
        <f t="shared" si="26"/>
        <v>424035-TITULOS-SUBCUENTA</v>
      </c>
    </row>
    <row r="1533" spans="13:16" x14ac:dyDescent="0.25">
      <c r="M1533" s="34">
        <v>424045</v>
      </c>
      <c r="N1533" s="2" t="s">
        <v>362</v>
      </c>
      <c r="O1533" s="2" t="s">
        <v>183</v>
      </c>
      <c r="P1533" s="2" t="str">
        <f t="shared" si="26"/>
        <v>424045-DERECHOS FIDUCIARIOS-SUBCUENTA</v>
      </c>
    </row>
    <row r="1534" spans="13:16" x14ac:dyDescent="0.25">
      <c r="M1534" s="34">
        <v>424050</v>
      </c>
      <c r="N1534" s="2" t="s">
        <v>368</v>
      </c>
      <c r="O1534" s="2" t="s">
        <v>183</v>
      </c>
      <c r="P1534" s="2" t="str">
        <f t="shared" si="26"/>
        <v>424050-OBLIGATORIAS-SUBCUENTA</v>
      </c>
    </row>
    <row r="1535" spans="13:16" x14ac:dyDescent="0.25">
      <c r="M1535" s="34">
        <v>424095</v>
      </c>
      <c r="N1535" s="2" t="s">
        <v>328</v>
      </c>
      <c r="O1535" s="2" t="s">
        <v>183</v>
      </c>
      <c r="P1535" s="2" t="str">
        <f t="shared" si="26"/>
        <v>424095-OTRAS-SUBCUENTA</v>
      </c>
    </row>
    <row r="1536" spans="13:16" x14ac:dyDescent="0.25">
      <c r="M1536" s="34">
        <v>424099</v>
      </c>
      <c r="N1536" s="2" t="s">
        <v>367</v>
      </c>
      <c r="O1536" s="2" t="s">
        <v>183</v>
      </c>
      <c r="P1536" s="2" t="str">
        <f t="shared" si="26"/>
        <v>424099-AJUSTES POR INFLACION-SUBCUENTA</v>
      </c>
    </row>
    <row r="1537" spans="13:16" x14ac:dyDescent="0.25">
      <c r="M1537" s="34">
        <v>4245</v>
      </c>
      <c r="N1537" s="2" t="s">
        <v>1277</v>
      </c>
      <c r="O1537" s="2" t="s">
        <v>182</v>
      </c>
      <c r="P1537" s="2" t="str">
        <f t="shared" si="26"/>
        <v>4245-UTILIDAD EN VENTA DE PROPIEDADES PLANTA Y EQUIPO-CUENTA</v>
      </c>
    </row>
    <row r="1538" spans="13:16" x14ac:dyDescent="0.25">
      <c r="M1538" s="34">
        <v>424504</v>
      </c>
      <c r="N1538" s="2" t="s">
        <v>490</v>
      </c>
      <c r="O1538" s="2" t="s">
        <v>183</v>
      </c>
      <c r="P1538" s="2" t="str">
        <f t="shared" si="26"/>
        <v>424504-TERRENOS-SUBCUENTA</v>
      </c>
    </row>
    <row r="1539" spans="13:16" x14ac:dyDescent="0.25">
      <c r="M1539" s="34">
        <v>424506</v>
      </c>
      <c r="N1539" s="2" t="s">
        <v>1278</v>
      </c>
      <c r="O1539" s="2" t="s">
        <v>183</v>
      </c>
      <c r="P1539" s="2" t="str">
        <f t="shared" si="26"/>
        <v>424506-MATERIALES INDUSTRIA PETROLERA-SUBCUENTA</v>
      </c>
    </row>
    <row r="1540" spans="13:16" x14ac:dyDescent="0.25">
      <c r="M1540" s="34">
        <v>424508</v>
      </c>
      <c r="N1540" s="2" t="s">
        <v>519</v>
      </c>
      <c r="O1540" s="2" t="s">
        <v>183</v>
      </c>
      <c r="P1540" s="2" t="str">
        <f t="shared" ref="P1540:P1603" si="27">IF(AND(M1540&lt;&gt;"",N1540&lt;&gt;"",O1540&lt;&gt;""),M1540&amp;"-"&amp;N1540&amp;"-"&amp;O1540,IF(AND(M1540="",N1540&lt;&gt;"",O1540&lt;&gt;""),N1540&amp;"-"&amp;O1540,IF(AND(M1540&lt;&gt;"",N1540="",O1540&lt;&gt;""),M1540&amp;"-"&amp;O1540,IF(AND(M1540&lt;&gt;"",N1540&lt;&gt;"",O1540=""),M1540&amp;"-"&amp;N1540,IF(AND(M1540&lt;&gt;"",N1540="",O1540=""),M1540,"")))))</f>
        <v>424508-CONSTRUCCIONES EN CURSO-SUBCUENTA</v>
      </c>
    </row>
    <row r="1541" spans="13:16" x14ac:dyDescent="0.25">
      <c r="M1541" s="34">
        <v>424512</v>
      </c>
      <c r="N1541" s="2" t="s">
        <v>636</v>
      </c>
      <c r="O1541" s="2" t="s">
        <v>183</v>
      </c>
      <c r="P1541" s="2" t="str">
        <f t="shared" si="27"/>
        <v>424512-MAQUINARIA EN MONTAJE-SUBCUENTA</v>
      </c>
    </row>
    <row r="1542" spans="13:16" x14ac:dyDescent="0.25">
      <c r="M1542" s="34">
        <v>424516</v>
      </c>
      <c r="N1542" s="2" t="s">
        <v>520</v>
      </c>
      <c r="O1542" s="2" t="s">
        <v>183</v>
      </c>
      <c r="P1542" s="2" t="str">
        <f t="shared" si="27"/>
        <v>424516-CONSTRUCCIONES Y EDIFICACIONES-SUBCUENTA</v>
      </c>
    </row>
    <row r="1543" spans="13:16" x14ac:dyDescent="0.25">
      <c r="M1543" s="34">
        <v>424520</v>
      </c>
      <c r="N1543" s="2" t="s">
        <v>527</v>
      </c>
      <c r="O1543" s="2" t="s">
        <v>183</v>
      </c>
      <c r="P1543" s="2" t="str">
        <f t="shared" si="27"/>
        <v>424520-MAQUINARIA Y EQUIPO-SUBCUENTA</v>
      </c>
    </row>
    <row r="1544" spans="13:16" x14ac:dyDescent="0.25">
      <c r="M1544" s="34">
        <v>424524</v>
      </c>
      <c r="N1544" s="2" t="s">
        <v>528</v>
      </c>
      <c r="O1544" s="2" t="s">
        <v>183</v>
      </c>
      <c r="P1544" s="2" t="str">
        <f t="shared" si="27"/>
        <v>424524-EQUIPO DE OFICINA-SUBCUENTA</v>
      </c>
    </row>
    <row r="1545" spans="13:16" x14ac:dyDescent="0.25">
      <c r="M1545" s="34">
        <v>424528</v>
      </c>
      <c r="N1545" s="2" t="s">
        <v>529</v>
      </c>
      <c r="O1545" s="2" t="s">
        <v>183</v>
      </c>
      <c r="P1545" s="2" t="str">
        <f t="shared" si="27"/>
        <v>424528-EQUIPO DE COMPUTACION Y COMUNICACION-SUBCUENTA</v>
      </c>
    </row>
    <row r="1546" spans="13:16" x14ac:dyDescent="0.25">
      <c r="M1546" s="34">
        <v>424532</v>
      </c>
      <c r="N1546" s="2" t="s">
        <v>561</v>
      </c>
      <c r="O1546" s="2" t="s">
        <v>183</v>
      </c>
      <c r="P1546" s="2" t="str">
        <f t="shared" si="27"/>
        <v>424532-EQUIPO MEDICO - CIENTIFICO-SUBCUENTA</v>
      </c>
    </row>
    <row r="1547" spans="13:16" x14ac:dyDescent="0.25">
      <c r="M1547" s="34">
        <v>424536</v>
      </c>
      <c r="N1547" s="2" t="s">
        <v>531</v>
      </c>
      <c r="O1547" s="2" t="s">
        <v>183</v>
      </c>
      <c r="P1547" s="2" t="str">
        <f t="shared" si="27"/>
        <v>424536-EQUIPO DE HOTELES Y RESTAURANTES-SUBCUENTA</v>
      </c>
    </row>
    <row r="1548" spans="13:16" x14ac:dyDescent="0.25">
      <c r="M1548" s="34">
        <v>424540</v>
      </c>
      <c r="N1548" s="2" t="s">
        <v>532</v>
      </c>
      <c r="O1548" s="2" t="s">
        <v>183</v>
      </c>
      <c r="P1548" s="2" t="str">
        <f t="shared" si="27"/>
        <v>424540-FLOTA Y EQUIPO DE TRANSPORTE-SUBCUENTA</v>
      </c>
    </row>
    <row r="1549" spans="13:16" x14ac:dyDescent="0.25">
      <c r="M1549" s="34">
        <v>424544</v>
      </c>
      <c r="N1549" s="2" t="s">
        <v>533</v>
      </c>
      <c r="O1549" s="2" t="s">
        <v>183</v>
      </c>
      <c r="P1549" s="2" t="str">
        <f t="shared" si="27"/>
        <v>424544-FLOTA Y EQUIPO FLUVIAL Y/O MARITIMO-SUBCUENTA</v>
      </c>
    </row>
    <row r="1550" spans="13:16" x14ac:dyDescent="0.25">
      <c r="M1550" s="34">
        <v>424548</v>
      </c>
      <c r="N1550" s="2" t="s">
        <v>534</v>
      </c>
      <c r="O1550" s="2" t="s">
        <v>183</v>
      </c>
      <c r="P1550" s="2" t="str">
        <f t="shared" si="27"/>
        <v>424548-FLOTA Y EQUIPO AEREO-SUBCUENTA</v>
      </c>
    </row>
    <row r="1551" spans="13:16" x14ac:dyDescent="0.25">
      <c r="M1551" s="34">
        <v>424552</v>
      </c>
      <c r="N1551" s="2" t="s">
        <v>535</v>
      </c>
      <c r="O1551" s="2" t="s">
        <v>183</v>
      </c>
      <c r="P1551" s="2" t="str">
        <f t="shared" si="27"/>
        <v>424552-FLOTA Y EQUIPO FERREO-SUBCUENTA</v>
      </c>
    </row>
    <row r="1552" spans="13:16" x14ac:dyDescent="0.25">
      <c r="M1552" s="34">
        <v>424556</v>
      </c>
      <c r="N1552" s="2" t="s">
        <v>521</v>
      </c>
      <c r="O1552" s="2" t="s">
        <v>183</v>
      </c>
      <c r="P1552" s="2" t="str">
        <f t="shared" si="27"/>
        <v>424556-ACUEDUCTOS PLANTAS Y REDES-SUBCUENTA</v>
      </c>
    </row>
    <row r="1553" spans="13:16" x14ac:dyDescent="0.25">
      <c r="M1553" s="34">
        <v>424560</v>
      </c>
      <c r="N1553" s="2" t="s">
        <v>616</v>
      </c>
      <c r="O1553" s="2" t="s">
        <v>183</v>
      </c>
      <c r="P1553" s="2" t="str">
        <f t="shared" si="27"/>
        <v>424560-ARMAMENTO DE VIGILANCIA-SUBCUENTA</v>
      </c>
    </row>
    <row r="1554" spans="13:16" x14ac:dyDescent="0.25">
      <c r="M1554" s="34">
        <v>424562</v>
      </c>
      <c r="N1554" s="2" t="s">
        <v>506</v>
      </c>
      <c r="O1554" s="2" t="s">
        <v>183</v>
      </c>
      <c r="P1554" s="2" t="str">
        <f t="shared" si="27"/>
        <v>424562-ENVASES Y EMPAQUES-SUBCUENTA</v>
      </c>
    </row>
    <row r="1555" spans="13:16" x14ac:dyDescent="0.25">
      <c r="M1555" s="34">
        <v>424564</v>
      </c>
      <c r="N1555" s="2" t="s">
        <v>617</v>
      </c>
      <c r="O1555" s="2" t="s">
        <v>183</v>
      </c>
      <c r="P1555" s="2" t="str">
        <f t="shared" si="27"/>
        <v>424564-PLANTACIONES AGRICOLAS Y FORESTALES-SUBCUENTA</v>
      </c>
    </row>
    <row r="1556" spans="13:16" x14ac:dyDescent="0.25">
      <c r="M1556" s="34">
        <v>424568</v>
      </c>
      <c r="N1556" s="2" t="s">
        <v>522</v>
      </c>
      <c r="O1556" s="2" t="s">
        <v>183</v>
      </c>
      <c r="P1556" s="2" t="str">
        <f t="shared" si="27"/>
        <v>424568-VIAS DE COMUNICACION-SUBCUENTA</v>
      </c>
    </row>
    <row r="1557" spans="13:16" x14ac:dyDescent="0.25">
      <c r="M1557" s="34">
        <v>424572</v>
      </c>
      <c r="N1557" s="2" t="s">
        <v>624</v>
      </c>
      <c r="O1557" s="2" t="s">
        <v>183</v>
      </c>
      <c r="P1557" s="2" t="str">
        <f t="shared" si="27"/>
        <v>424572-MINAS Y CANTERAS-SUBCUENTA</v>
      </c>
    </row>
    <row r="1558" spans="13:16" x14ac:dyDescent="0.25">
      <c r="M1558" s="34">
        <v>424580</v>
      </c>
      <c r="N1558" s="2" t="s">
        <v>523</v>
      </c>
      <c r="O1558" s="2" t="s">
        <v>183</v>
      </c>
      <c r="P1558" s="2" t="str">
        <f t="shared" si="27"/>
        <v>424580-POZOS ARTESIANOS-SUBCUENTA</v>
      </c>
    </row>
    <row r="1559" spans="13:16" x14ac:dyDescent="0.25">
      <c r="M1559" s="34">
        <v>424584</v>
      </c>
      <c r="N1559" s="2" t="s">
        <v>627</v>
      </c>
      <c r="O1559" s="2" t="s">
        <v>183</v>
      </c>
      <c r="P1559" s="2" t="str">
        <f t="shared" si="27"/>
        <v>424584-YACIMIENTOS-SUBCUENTA</v>
      </c>
    </row>
    <row r="1560" spans="13:16" x14ac:dyDescent="0.25">
      <c r="M1560" s="34">
        <v>424588</v>
      </c>
      <c r="N1560" s="2" t="s">
        <v>487</v>
      </c>
      <c r="O1560" s="2" t="s">
        <v>183</v>
      </c>
      <c r="P1560" s="2" t="str">
        <f t="shared" si="27"/>
        <v>424588-SEMOVIENTES-SUBCUENTA</v>
      </c>
    </row>
    <row r="1561" spans="13:16" x14ac:dyDescent="0.25">
      <c r="M1561" s="34">
        <v>424599</v>
      </c>
      <c r="N1561" s="2" t="s">
        <v>367</v>
      </c>
      <c r="O1561" s="2" t="s">
        <v>183</v>
      </c>
      <c r="P1561" s="2" t="str">
        <f t="shared" si="27"/>
        <v>424599-AJUSTES POR INFLACION-SUBCUENTA</v>
      </c>
    </row>
    <row r="1562" spans="13:16" x14ac:dyDescent="0.25">
      <c r="M1562" s="34">
        <v>4248</v>
      </c>
      <c r="N1562" s="2" t="s">
        <v>1279</v>
      </c>
      <c r="O1562" s="2" t="s">
        <v>182</v>
      </c>
      <c r="P1562" s="2" t="str">
        <f t="shared" si="27"/>
        <v>4248-UTILIDAD EN VENTA DE OTROS BIENES-CUENTA</v>
      </c>
    </row>
    <row r="1563" spans="13:16" x14ac:dyDescent="0.25">
      <c r="M1563" s="34">
        <v>424805</v>
      </c>
      <c r="N1563" s="2" t="s">
        <v>638</v>
      </c>
      <c r="O1563" s="2" t="s">
        <v>183</v>
      </c>
      <c r="P1563" s="2" t="str">
        <f t="shared" si="27"/>
        <v>424805-INTANGIBLES-SUBCUENTA</v>
      </c>
    </row>
    <row r="1564" spans="13:16" x14ac:dyDescent="0.25">
      <c r="M1564" s="34">
        <v>424810</v>
      </c>
      <c r="N1564" s="2" t="s">
        <v>689</v>
      </c>
      <c r="O1564" s="2" t="s">
        <v>183</v>
      </c>
      <c r="P1564" s="2" t="str">
        <f t="shared" si="27"/>
        <v>424810-OTROS ACTIVOS-SUBCUENTA</v>
      </c>
    </row>
    <row r="1565" spans="13:16" x14ac:dyDescent="0.25">
      <c r="M1565" s="34">
        <v>424899</v>
      </c>
      <c r="N1565" s="2" t="s">
        <v>367</v>
      </c>
      <c r="O1565" s="2" t="s">
        <v>183</v>
      </c>
      <c r="P1565" s="2" t="str">
        <f t="shared" si="27"/>
        <v>424899-AJUSTES POR INFLACION-SUBCUENTA</v>
      </c>
    </row>
    <row r="1566" spans="13:16" x14ac:dyDescent="0.25">
      <c r="M1566" s="34">
        <v>4250</v>
      </c>
      <c r="N1566" s="2" t="s">
        <v>1280</v>
      </c>
      <c r="O1566" s="2" t="s">
        <v>182</v>
      </c>
      <c r="P1566" s="2" t="str">
        <f t="shared" si="27"/>
        <v>4250-RECUPERACIONES-CUENTA</v>
      </c>
    </row>
    <row r="1567" spans="13:16" x14ac:dyDescent="0.25">
      <c r="M1567" s="34">
        <v>425005</v>
      </c>
      <c r="N1567" s="2" t="s">
        <v>1281</v>
      </c>
      <c r="O1567" s="2" t="s">
        <v>183</v>
      </c>
      <c r="P1567" s="2" t="str">
        <f t="shared" si="27"/>
        <v>425005-DEUDAS MALAS-SUBCUENTA</v>
      </c>
    </row>
    <row r="1568" spans="13:16" x14ac:dyDescent="0.25">
      <c r="M1568" s="34">
        <v>425010</v>
      </c>
      <c r="N1568" s="2" t="s">
        <v>737</v>
      </c>
      <c r="O1568" s="2" t="s">
        <v>183</v>
      </c>
      <c r="P1568" s="2" t="str">
        <f t="shared" si="27"/>
        <v>425010-SEGUROS-SUBCUENTA</v>
      </c>
    </row>
    <row r="1569" spans="13:16" x14ac:dyDescent="0.25">
      <c r="M1569" s="34">
        <v>425015</v>
      </c>
      <c r="N1569" s="2" t="s">
        <v>839</v>
      </c>
      <c r="O1569" s="2" t="s">
        <v>183</v>
      </c>
      <c r="P1569" s="2" t="str">
        <f t="shared" si="27"/>
        <v>425015-RECLAMOS-SUBCUENTA</v>
      </c>
    </row>
    <row r="1570" spans="13:16" x14ac:dyDescent="0.25">
      <c r="M1570" s="34">
        <v>425020</v>
      </c>
      <c r="N1570" s="2" t="s">
        <v>1282</v>
      </c>
      <c r="O1570" s="2" t="s">
        <v>183</v>
      </c>
      <c r="P1570" s="2" t="str">
        <f t="shared" si="27"/>
        <v>425020-REINTEGRO POR PERSONAL EN COMISION-SUBCUENTA</v>
      </c>
    </row>
    <row r="1571" spans="13:16" x14ac:dyDescent="0.25">
      <c r="M1571" s="34">
        <v>425025</v>
      </c>
      <c r="N1571" s="2" t="s">
        <v>1283</v>
      </c>
      <c r="O1571" s="2" t="s">
        <v>183</v>
      </c>
      <c r="P1571" s="2" t="str">
        <f t="shared" si="27"/>
        <v>425025-REINTEGRO GARANTIAS-SUBCUENTA</v>
      </c>
    </row>
    <row r="1572" spans="13:16" x14ac:dyDescent="0.25">
      <c r="M1572" s="34">
        <v>425030</v>
      </c>
      <c r="N1572" s="2" t="s">
        <v>1284</v>
      </c>
      <c r="O1572" s="2" t="s">
        <v>183</v>
      </c>
      <c r="P1572" s="2" t="str">
        <f t="shared" si="27"/>
        <v>425030-DESCUENTOS CONCEDIDOS-SUBCUENTA</v>
      </c>
    </row>
    <row r="1573" spans="13:16" x14ac:dyDescent="0.25">
      <c r="M1573" s="34">
        <v>425035</v>
      </c>
      <c r="N1573" s="2" t="s">
        <v>1285</v>
      </c>
      <c r="O1573" s="2" t="s">
        <v>183</v>
      </c>
      <c r="P1573" s="2" t="str">
        <f t="shared" si="27"/>
        <v>425035-REINTEGRO PROVISIONES-SUBCUENTA</v>
      </c>
    </row>
    <row r="1574" spans="13:16" x14ac:dyDescent="0.25">
      <c r="M1574" s="34">
        <v>425040</v>
      </c>
      <c r="N1574" s="2" t="s">
        <v>1286</v>
      </c>
      <c r="O1574" s="2" t="s">
        <v>183</v>
      </c>
      <c r="P1574" s="2" t="str">
        <f t="shared" si="27"/>
        <v>425040-GASTOS BANCARIOS-SUBCUENTA</v>
      </c>
    </row>
    <row r="1575" spans="13:16" x14ac:dyDescent="0.25">
      <c r="M1575" s="34">
        <v>425045</v>
      </c>
      <c r="N1575" s="2" t="s">
        <v>1287</v>
      </c>
      <c r="O1575" s="2" t="s">
        <v>183</v>
      </c>
      <c r="P1575" s="2" t="str">
        <f t="shared" si="27"/>
        <v>425045-DE DEPRECIACION-SUBCUENTA</v>
      </c>
    </row>
    <row r="1576" spans="13:16" x14ac:dyDescent="0.25">
      <c r="M1576" s="34">
        <v>425050</v>
      </c>
      <c r="N1576" s="2" t="s">
        <v>1288</v>
      </c>
      <c r="O1576" s="2" t="s">
        <v>183</v>
      </c>
      <c r="P1576" s="2" t="str">
        <f t="shared" si="27"/>
        <v>425050-REINTEGRO DE OTROS COSTOS Y GASTOS-SUBCUENTA</v>
      </c>
    </row>
    <row r="1577" spans="13:16" x14ac:dyDescent="0.25">
      <c r="M1577" s="34">
        <v>425099</v>
      </c>
      <c r="N1577" s="2" t="s">
        <v>367</v>
      </c>
      <c r="O1577" s="2" t="s">
        <v>183</v>
      </c>
      <c r="P1577" s="2" t="str">
        <f t="shared" si="27"/>
        <v>425099-AJUSTES POR INFLACION-SUBCUENTA</v>
      </c>
    </row>
    <row r="1578" spans="13:16" x14ac:dyDescent="0.25">
      <c r="M1578" s="34">
        <v>4255</v>
      </c>
      <c r="N1578" s="2" t="s">
        <v>886</v>
      </c>
      <c r="O1578" s="2" t="s">
        <v>182</v>
      </c>
      <c r="P1578" s="2" t="str">
        <f t="shared" si="27"/>
        <v>4255-INDEMNIZACIONES-CUENTA</v>
      </c>
    </row>
    <row r="1579" spans="13:16" x14ac:dyDescent="0.25">
      <c r="M1579" s="34">
        <v>425505</v>
      </c>
      <c r="N1579" s="2" t="s">
        <v>1289</v>
      </c>
      <c r="O1579" s="2" t="s">
        <v>183</v>
      </c>
      <c r="P1579" s="2" t="str">
        <f t="shared" si="27"/>
        <v>425505-POR SINIESTRO-SUBCUENTA</v>
      </c>
    </row>
    <row r="1580" spans="13:16" x14ac:dyDescent="0.25">
      <c r="M1580" s="34">
        <v>425510</v>
      </c>
      <c r="N1580" s="2" t="s">
        <v>1290</v>
      </c>
      <c r="O1580" s="2" t="s">
        <v>183</v>
      </c>
      <c r="P1580" s="2" t="str">
        <f t="shared" si="27"/>
        <v>425510-POR SUMINISTROS-SUBCUENTA</v>
      </c>
    </row>
    <row r="1581" spans="13:16" x14ac:dyDescent="0.25">
      <c r="M1581" s="34">
        <v>425515</v>
      </c>
      <c r="N1581" s="2" t="s">
        <v>1291</v>
      </c>
      <c r="O1581" s="2" t="s">
        <v>183</v>
      </c>
      <c r="P1581" s="2" t="str">
        <f t="shared" si="27"/>
        <v>425515-LUCRO CESANTE COMPAÑIAS DE SEGUROS-SUBCUENTA</v>
      </c>
    </row>
    <row r="1582" spans="13:16" x14ac:dyDescent="0.25">
      <c r="M1582" s="34">
        <v>425520</v>
      </c>
      <c r="N1582" s="2" t="s">
        <v>1292</v>
      </c>
      <c r="O1582" s="2" t="s">
        <v>183</v>
      </c>
      <c r="P1582" s="2" t="str">
        <f t="shared" si="27"/>
        <v>425520-DAÑO EMERGENTE COMPAÑIAS DE SEGUROS-SUBCUENTA</v>
      </c>
    </row>
    <row r="1583" spans="13:16" x14ac:dyDescent="0.25">
      <c r="M1583" s="34">
        <v>425525</v>
      </c>
      <c r="N1583" s="2" t="s">
        <v>1293</v>
      </c>
      <c r="O1583" s="2" t="s">
        <v>183</v>
      </c>
      <c r="P1583" s="2" t="str">
        <f t="shared" si="27"/>
        <v>425525-POR PERDIDA DE MERCANCIA-SUBCUENTA</v>
      </c>
    </row>
    <row r="1584" spans="13:16" x14ac:dyDescent="0.25">
      <c r="M1584" s="34">
        <v>425530</v>
      </c>
      <c r="N1584" s="2" t="s">
        <v>1294</v>
      </c>
      <c r="O1584" s="2" t="s">
        <v>183</v>
      </c>
      <c r="P1584" s="2" t="str">
        <f t="shared" si="27"/>
        <v>425530-POR INCUMPLIMIENTO DE CONTRATOS-SUBCUENTA</v>
      </c>
    </row>
    <row r="1585" spans="13:16" x14ac:dyDescent="0.25">
      <c r="M1585" s="34">
        <v>425535</v>
      </c>
      <c r="N1585" s="2" t="s">
        <v>1295</v>
      </c>
      <c r="O1585" s="2" t="s">
        <v>183</v>
      </c>
      <c r="P1585" s="2" t="str">
        <f t="shared" si="27"/>
        <v>425535-DE TERCEROS-SUBCUENTA</v>
      </c>
    </row>
    <row r="1586" spans="13:16" x14ac:dyDescent="0.25">
      <c r="M1586" s="34">
        <v>425540</v>
      </c>
      <c r="N1586" s="2" t="s">
        <v>1296</v>
      </c>
      <c r="O1586" s="2" t="s">
        <v>183</v>
      </c>
      <c r="P1586" s="2" t="str">
        <f t="shared" si="27"/>
        <v>425540-POR INCAPACIDADES I.S.S.-SUBCUENTA</v>
      </c>
    </row>
    <row r="1587" spans="13:16" x14ac:dyDescent="0.25">
      <c r="M1587" s="34">
        <v>425595</v>
      </c>
      <c r="N1587" s="2" t="s">
        <v>328</v>
      </c>
      <c r="O1587" s="2" t="s">
        <v>183</v>
      </c>
      <c r="P1587" s="2" t="str">
        <f t="shared" si="27"/>
        <v>425595-OTRAS-SUBCUENTA</v>
      </c>
    </row>
    <row r="1588" spans="13:16" x14ac:dyDescent="0.25">
      <c r="M1588" s="34">
        <v>425599</v>
      </c>
      <c r="N1588" s="2" t="s">
        <v>367</v>
      </c>
      <c r="O1588" s="2" t="s">
        <v>183</v>
      </c>
      <c r="P1588" s="2" t="str">
        <f t="shared" si="27"/>
        <v>425599-AJUSTES POR INFLACION-SUBCUENTA</v>
      </c>
    </row>
    <row r="1589" spans="13:16" x14ac:dyDescent="0.25">
      <c r="M1589" s="34">
        <v>4260</v>
      </c>
      <c r="N1589" s="2" t="s">
        <v>1297</v>
      </c>
      <c r="O1589" s="2" t="s">
        <v>182</v>
      </c>
      <c r="P1589" s="2" t="str">
        <f t="shared" si="27"/>
        <v>4260-PARTICIPACIONES EN CONCESIONES-CUENTA</v>
      </c>
    </row>
    <row r="1590" spans="13:16" x14ac:dyDescent="0.25">
      <c r="M1590" s="34" t="s">
        <v>269</v>
      </c>
      <c r="N1590" s="2" t="s">
        <v>188</v>
      </c>
      <c r="O1590" s="2" t="s">
        <v>188</v>
      </c>
      <c r="P1590" s="2" t="str">
        <f t="shared" si="27"/>
        <v xml:space="preserve">426001 a 426098 </v>
      </c>
    </row>
    <row r="1591" spans="13:16" x14ac:dyDescent="0.25">
      <c r="M1591" s="34">
        <v>426099</v>
      </c>
      <c r="N1591" s="2" t="s">
        <v>367</v>
      </c>
      <c r="O1591" s="2" t="s">
        <v>183</v>
      </c>
      <c r="P1591" s="2" t="str">
        <f t="shared" si="27"/>
        <v>426099-AJUSTES POR INFLACION-SUBCUENTA</v>
      </c>
    </row>
    <row r="1592" spans="13:16" x14ac:dyDescent="0.25">
      <c r="M1592" s="34">
        <v>4265</v>
      </c>
      <c r="N1592" s="2" t="s">
        <v>1298</v>
      </c>
      <c r="O1592" s="2" t="s">
        <v>182</v>
      </c>
      <c r="P1592" s="2" t="str">
        <f t="shared" si="27"/>
        <v>4265-INGRESOS DE EJERCICIOS ANTERIORES-CUENTA</v>
      </c>
    </row>
    <row r="1593" spans="13:16" x14ac:dyDescent="0.25">
      <c r="M1593" s="34" t="s">
        <v>270</v>
      </c>
      <c r="N1593" s="2" t="s">
        <v>188</v>
      </c>
      <c r="O1593" s="2" t="s">
        <v>188</v>
      </c>
      <c r="P1593" s="2" t="str">
        <f t="shared" si="27"/>
        <v xml:space="preserve">426501 a 426598 </v>
      </c>
    </row>
    <row r="1594" spans="13:16" x14ac:dyDescent="0.25">
      <c r="M1594" s="34">
        <v>426599</v>
      </c>
      <c r="N1594" s="2" t="s">
        <v>367</v>
      </c>
      <c r="O1594" s="2" t="s">
        <v>183</v>
      </c>
      <c r="P1594" s="2" t="str">
        <f t="shared" si="27"/>
        <v>426599-AJUSTES POR INFLACION-SUBCUENTA</v>
      </c>
    </row>
    <row r="1595" spans="13:16" x14ac:dyDescent="0.25">
      <c r="M1595" s="34">
        <v>4275</v>
      </c>
      <c r="N1595" s="2" t="s">
        <v>1299</v>
      </c>
      <c r="O1595" s="2" t="s">
        <v>182</v>
      </c>
      <c r="P1595" s="2" t="str">
        <f t="shared" si="27"/>
        <v>4275-DEVOLUCIONES, REBAJAS Y DESCUENTOS EN OTRAS VENTAS (DB)-CUENTA</v>
      </c>
    </row>
    <row r="1596" spans="13:16" x14ac:dyDescent="0.25">
      <c r="M1596" s="34" t="s">
        <v>271</v>
      </c>
      <c r="N1596" s="2" t="s">
        <v>188</v>
      </c>
      <c r="O1596" s="2" t="s">
        <v>188</v>
      </c>
      <c r="P1596" s="2" t="str">
        <f t="shared" si="27"/>
        <v xml:space="preserve">427501 a 427598 </v>
      </c>
    </row>
    <row r="1597" spans="13:16" x14ac:dyDescent="0.25">
      <c r="M1597" s="34">
        <v>427599</v>
      </c>
      <c r="N1597" s="2" t="s">
        <v>367</v>
      </c>
      <c r="O1597" s="2" t="s">
        <v>183</v>
      </c>
      <c r="P1597" s="2" t="str">
        <f t="shared" si="27"/>
        <v>427599-AJUSTES POR INFLACION-SUBCUENTA</v>
      </c>
    </row>
    <row r="1598" spans="13:16" x14ac:dyDescent="0.25">
      <c r="M1598" s="34">
        <v>4295</v>
      </c>
      <c r="N1598" s="2" t="s">
        <v>693</v>
      </c>
      <c r="O1598" s="2" t="s">
        <v>182</v>
      </c>
      <c r="P1598" s="2" t="str">
        <f t="shared" si="27"/>
        <v>4295-DIVERSOS-CUENTA</v>
      </c>
    </row>
    <row r="1599" spans="13:16" x14ac:dyDescent="0.25">
      <c r="M1599" s="34">
        <v>429503</v>
      </c>
      <c r="N1599" s="2" t="s">
        <v>1300</v>
      </c>
      <c r="O1599" s="2" t="s">
        <v>183</v>
      </c>
      <c r="P1599" s="2" t="str">
        <f t="shared" si="27"/>
        <v>429503-CERT-SUBCUENTA</v>
      </c>
    </row>
    <row r="1600" spans="13:16" x14ac:dyDescent="0.25">
      <c r="M1600" s="34">
        <v>429505</v>
      </c>
      <c r="N1600" s="2" t="s">
        <v>1301</v>
      </c>
      <c r="O1600" s="2" t="s">
        <v>183</v>
      </c>
      <c r="P1600" s="2" t="str">
        <f t="shared" si="27"/>
        <v>429505-APROVECHAMIENTOS-SUBCUENTA</v>
      </c>
    </row>
    <row r="1601" spans="13:16" x14ac:dyDescent="0.25">
      <c r="M1601" s="34">
        <v>429507</v>
      </c>
      <c r="N1601" s="2" t="s">
        <v>813</v>
      </c>
      <c r="O1601" s="2" t="s">
        <v>183</v>
      </c>
      <c r="P1601" s="2" t="str">
        <f t="shared" si="27"/>
        <v>429507-AUXILIOS-SUBCUENTA</v>
      </c>
    </row>
    <row r="1602" spans="13:16" x14ac:dyDescent="0.25">
      <c r="M1602" s="34">
        <v>429509</v>
      </c>
      <c r="N1602" s="2" t="s">
        <v>922</v>
      </c>
      <c r="O1602" s="2" t="s">
        <v>183</v>
      </c>
      <c r="P1602" s="2" t="str">
        <f t="shared" si="27"/>
        <v>429509-DONACIONES-SUBCUENTA</v>
      </c>
    </row>
    <row r="1603" spans="13:16" x14ac:dyDescent="0.25">
      <c r="M1603" s="34">
        <v>429511</v>
      </c>
      <c r="N1603" s="2" t="s">
        <v>1302</v>
      </c>
      <c r="O1603" s="2" t="s">
        <v>183</v>
      </c>
      <c r="P1603" s="2" t="str">
        <f t="shared" si="27"/>
        <v>429511-INGRESOS POR INVESTIGACION Y DESARROLLO-SUBCUENTA</v>
      </c>
    </row>
    <row r="1604" spans="13:16" x14ac:dyDescent="0.25">
      <c r="M1604" s="34">
        <v>429513</v>
      </c>
      <c r="N1604" s="2" t="s">
        <v>1303</v>
      </c>
      <c r="O1604" s="2" t="s">
        <v>183</v>
      </c>
      <c r="P1604" s="2" t="str">
        <f t="shared" ref="P1604:P1667" si="28">IF(AND(M1604&lt;&gt;"",N1604&lt;&gt;"",O1604&lt;&gt;""),M1604&amp;"-"&amp;N1604&amp;"-"&amp;O1604,IF(AND(M1604="",N1604&lt;&gt;"",O1604&lt;&gt;""),N1604&amp;"-"&amp;O1604,IF(AND(M1604&lt;&gt;"",N1604="",O1604&lt;&gt;""),M1604&amp;"-"&amp;O1604,IF(AND(M1604&lt;&gt;"",N1604&lt;&gt;"",O1604=""),M1604&amp;"-"&amp;N1604,IF(AND(M1604&lt;&gt;"",N1604="",O1604=""),M1604,"")))))</f>
        <v>429513-POR TRABAJOS EJECUTADOS-SUBCUENTA</v>
      </c>
    </row>
    <row r="1605" spans="13:16" x14ac:dyDescent="0.25">
      <c r="M1605" s="34">
        <v>429515</v>
      </c>
      <c r="N1605" s="2" t="s">
        <v>820</v>
      </c>
      <c r="O1605" s="2" t="s">
        <v>183</v>
      </c>
      <c r="P1605" s="2" t="str">
        <f t="shared" si="28"/>
        <v>429515-REGALIAS-SUBCUENTA</v>
      </c>
    </row>
    <row r="1606" spans="13:16" x14ac:dyDescent="0.25">
      <c r="M1606" s="34">
        <v>429517</v>
      </c>
      <c r="N1606" s="2" t="s">
        <v>1304</v>
      </c>
      <c r="O1606" s="2" t="s">
        <v>183</v>
      </c>
      <c r="P1606" s="2" t="str">
        <f t="shared" si="28"/>
        <v>429517-DERIVADOS DE LAS EXPORTACIONES-SUBCUENTA</v>
      </c>
    </row>
    <row r="1607" spans="13:16" x14ac:dyDescent="0.25">
      <c r="M1607" s="34">
        <v>429519</v>
      </c>
      <c r="N1607" s="2" t="s">
        <v>1305</v>
      </c>
      <c r="O1607" s="2" t="s">
        <v>183</v>
      </c>
      <c r="P1607" s="2" t="str">
        <f t="shared" si="28"/>
        <v>429519-OTROS INGRESOS DE EXPLOTACION-SUBCUENTA</v>
      </c>
    </row>
    <row r="1608" spans="13:16" x14ac:dyDescent="0.25">
      <c r="M1608" s="34">
        <v>429521</v>
      </c>
      <c r="N1608" s="2" t="s">
        <v>1306</v>
      </c>
      <c r="O1608" s="2" t="s">
        <v>183</v>
      </c>
      <c r="P1608" s="2" t="str">
        <f t="shared" si="28"/>
        <v>429521-DE LA ACTIVIDAD GANADERA-SUBCUENTA</v>
      </c>
    </row>
    <row r="1609" spans="13:16" x14ac:dyDescent="0.25">
      <c r="M1609" s="34">
        <v>429525</v>
      </c>
      <c r="N1609" s="2" t="s">
        <v>1307</v>
      </c>
      <c r="O1609" s="2" t="s">
        <v>183</v>
      </c>
      <c r="P1609" s="2" t="str">
        <f t="shared" si="28"/>
        <v>429525-DERECHOS Y LICITACIONES-SUBCUENTA</v>
      </c>
    </row>
    <row r="1610" spans="13:16" x14ac:dyDescent="0.25">
      <c r="M1610" s="34">
        <v>429530</v>
      </c>
      <c r="N1610" s="2" t="s">
        <v>1308</v>
      </c>
      <c r="O1610" s="2" t="s">
        <v>183</v>
      </c>
      <c r="P1610" s="2" t="str">
        <f t="shared" si="28"/>
        <v>429530-INGRESOS POR ELEMENTOS PERDIDOS-SUBCUENTA</v>
      </c>
    </row>
    <row r="1611" spans="13:16" x14ac:dyDescent="0.25">
      <c r="M1611" s="34">
        <v>429533</v>
      </c>
      <c r="N1611" s="2" t="s">
        <v>1243</v>
      </c>
      <c r="O1611" s="2" t="s">
        <v>183</v>
      </c>
      <c r="P1611" s="2" t="str">
        <f t="shared" si="28"/>
        <v>429533-MULTAS Y RECARGOS-SUBCUENTA</v>
      </c>
    </row>
    <row r="1612" spans="13:16" x14ac:dyDescent="0.25">
      <c r="M1612" s="34">
        <v>429535</v>
      </c>
      <c r="N1612" s="2" t="s">
        <v>1309</v>
      </c>
      <c r="O1612" s="2" t="s">
        <v>183</v>
      </c>
      <c r="P1612" s="2" t="str">
        <f t="shared" si="28"/>
        <v>429535-PREAVISOS DESCONTADOS-SUBCUENTA</v>
      </c>
    </row>
    <row r="1613" spans="13:16" x14ac:dyDescent="0.25">
      <c r="M1613" s="34">
        <v>429537</v>
      </c>
      <c r="N1613" s="2" t="s">
        <v>839</v>
      </c>
      <c r="O1613" s="2" t="s">
        <v>183</v>
      </c>
      <c r="P1613" s="2" t="str">
        <f t="shared" si="28"/>
        <v>429537-RECLAMOS-SUBCUENTA</v>
      </c>
    </row>
    <row r="1614" spans="13:16" x14ac:dyDescent="0.25">
      <c r="M1614" s="34">
        <v>429540</v>
      </c>
      <c r="N1614" s="2" t="s">
        <v>1310</v>
      </c>
      <c r="O1614" s="2" t="s">
        <v>183</v>
      </c>
      <c r="P1614" s="2" t="str">
        <f t="shared" si="28"/>
        <v>429540-RECOBRO DE DAÑOS-SUBCUENTA</v>
      </c>
    </row>
    <row r="1615" spans="13:16" x14ac:dyDescent="0.25">
      <c r="M1615" s="34">
        <v>429543</v>
      </c>
      <c r="N1615" s="2" t="s">
        <v>1311</v>
      </c>
      <c r="O1615" s="2" t="s">
        <v>183</v>
      </c>
      <c r="P1615" s="2" t="str">
        <f t="shared" si="28"/>
        <v>429543-PREMIOS-SUBCUENTA</v>
      </c>
    </row>
    <row r="1616" spans="13:16" x14ac:dyDescent="0.25">
      <c r="M1616" s="34">
        <v>429545</v>
      </c>
      <c r="N1616" s="2" t="s">
        <v>814</v>
      </c>
      <c r="O1616" s="2" t="s">
        <v>183</v>
      </c>
      <c r="P1616" s="2" t="str">
        <f t="shared" si="28"/>
        <v>429545-BONIFICACIONES-SUBCUENTA</v>
      </c>
    </row>
    <row r="1617" spans="13:16" x14ac:dyDescent="0.25">
      <c r="M1617" s="34">
        <v>429547</v>
      </c>
      <c r="N1617" s="2" t="s">
        <v>1312</v>
      </c>
      <c r="O1617" s="2" t="s">
        <v>183</v>
      </c>
      <c r="P1617" s="2" t="str">
        <f t="shared" si="28"/>
        <v>429547-PRODUCTOS DESCONTADOS-SUBCUENTA</v>
      </c>
    </row>
    <row r="1618" spans="13:16" x14ac:dyDescent="0.25">
      <c r="M1618" s="34">
        <v>429549</v>
      </c>
      <c r="N1618" s="2" t="s">
        <v>1313</v>
      </c>
      <c r="O1618" s="2" t="s">
        <v>183</v>
      </c>
      <c r="P1618" s="2" t="str">
        <f t="shared" si="28"/>
        <v>429549-RECONOCIMIENTOS I.S.S.-SUBCUENTA</v>
      </c>
    </row>
    <row r="1619" spans="13:16" x14ac:dyDescent="0.25">
      <c r="M1619" s="34">
        <v>429551</v>
      </c>
      <c r="N1619" s="2" t="s">
        <v>1314</v>
      </c>
      <c r="O1619" s="2" t="s">
        <v>183</v>
      </c>
      <c r="P1619" s="2" t="str">
        <f t="shared" si="28"/>
        <v>429551-EXCEDENTES-SUBCUENTA</v>
      </c>
    </row>
    <row r="1620" spans="13:16" x14ac:dyDescent="0.25">
      <c r="M1620" s="34">
        <v>429553</v>
      </c>
      <c r="N1620" s="2" t="s">
        <v>1315</v>
      </c>
      <c r="O1620" s="2" t="s">
        <v>183</v>
      </c>
      <c r="P1620" s="2" t="str">
        <f t="shared" si="28"/>
        <v>429553-SOBRANTES DE CAJA MENOR-SUBCUENTA</v>
      </c>
    </row>
    <row r="1621" spans="13:16" x14ac:dyDescent="0.25">
      <c r="M1621" s="34">
        <v>429555</v>
      </c>
      <c r="N1621" s="2" t="s">
        <v>1316</v>
      </c>
      <c r="O1621" s="2" t="s">
        <v>183</v>
      </c>
      <c r="P1621" s="2" t="str">
        <f t="shared" si="28"/>
        <v>429555-SOBRANTES EN LIQUIDACION FLETES-SUBCUENTA</v>
      </c>
    </row>
    <row r="1622" spans="13:16" x14ac:dyDescent="0.25">
      <c r="M1622" s="34">
        <v>429557</v>
      </c>
      <c r="N1622" s="2" t="s">
        <v>1317</v>
      </c>
      <c r="O1622" s="2" t="s">
        <v>183</v>
      </c>
      <c r="P1622" s="2" t="str">
        <f t="shared" si="28"/>
        <v>429557-SUBSIDIOS ESTATALES-SUBCUENTA</v>
      </c>
    </row>
    <row r="1623" spans="13:16" x14ac:dyDescent="0.25">
      <c r="M1623" s="34">
        <v>429559</v>
      </c>
      <c r="N1623" s="2" t="s">
        <v>1318</v>
      </c>
      <c r="O1623" s="2" t="s">
        <v>183</v>
      </c>
      <c r="P1623" s="2" t="str">
        <f t="shared" si="28"/>
        <v>429559-CAPACITACION DISTRIBUIDORES-SUBCUENTA</v>
      </c>
    </row>
    <row r="1624" spans="13:16" x14ac:dyDescent="0.25">
      <c r="M1624" s="34">
        <v>429561</v>
      </c>
      <c r="N1624" s="2" t="s">
        <v>1319</v>
      </c>
      <c r="O1624" s="2" t="s">
        <v>183</v>
      </c>
      <c r="P1624" s="2" t="str">
        <f t="shared" si="28"/>
        <v>429561-DE ESCRITURACION-SUBCUENTA</v>
      </c>
    </row>
    <row r="1625" spans="13:16" x14ac:dyDescent="0.25">
      <c r="M1625" s="34">
        <v>429563</v>
      </c>
      <c r="N1625" s="2" t="s">
        <v>1320</v>
      </c>
      <c r="O1625" s="2" t="s">
        <v>183</v>
      </c>
      <c r="P1625" s="2" t="str">
        <f t="shared" si="28"/>
        <v>429563-REGISTRO PROMESAS DE VENTA-SUBCUENTA</v>
      </c>
    </row>
    <row r="1626" spans="13:16" x14ac:dyDescent="0.25">
      <c r="M1626" s="34">
        <v>429567</v>
      </c>
      <c r="N1626" s="2" t="s">
        <v>1321</v>
      </c>
      <c r="O1626" s="2" t="s">
        <v>183</v>
      </c>
      <c r="P1626" s="2" t="str">
        <f t="shared" si="28"/>
        <v>429567-UTILES, PAPELERIA Y FOTOCOPIAS-SUBCUENTA</v>
      </c>
    </row>
    <row r="1627" spans="13:16" x14ac:dyDescent="0.25">
      <c r="M1627" s="34">
        <v>429571</v>
      </c>
      <c r="N1627" s="2" t="s">
        <v>1322</v>
      </c>
      <c r="O1627" s="2" t="s">
        <v>183</v>
      </c>
      <c r="P1627" s="2" t="str">
        <f t="shared" si="28"/>
        <v>429571-RESULTADOS MATRICULAS Y TRASPASOS-SUBCUENTA</v>
      </c>
    </row>
    <row r="1628" spans="13:16" x14ac:dyDescent="0.25">
      <c r="M1628" s="34">
        <v>429573</v>
      </c>
      <c r="N1628" s="2" t="s">
        <v>1323</v>
      </c>
      <c r="O1628" s="2" t="s">
        <v>183</v>
      </c>
      <c r="P1628" s="2" t="str">
        <f t="shared" si="28"/>
        <v>429573-DECORACIONES-SUBCUENTA</v>
      </c>
    </row>
    <row r="1629" spans="13:16" x14ac:dyDescent="0.25">
      <c r="M1629" s="34">
        <v>429575</v>
      </c>
      <c r="N1629" s="2" t="s">
        <v>1324</v>
      </c>
      <c r="O1629" s="2" t="s">
        <v>183</v>
      </c>
      <c r="P1629" s="2" t="str">
        <f t="shared" si="28"/>
        <v>429575-MANEJO DE CARGA-SUBCUENTA</v>
      </c>
    </row>
    <row r="1630" spans="13:16" x14ac:dyDescent="0.25">
      <c r="M1630" s="34">
        <v>429579</v>
      </c>
      <c r="N1630" s="2" t="s">
        <v>1325</v>
      </c>
      <c r="O1630" s="2" t="s">
        <v>183</v>
      </c>
      <c r="P1630" s="2" t="str">
        <f t="shared" si="28"/>
        <v>429579-HISTORIA CLINICA-SUBCUENTA</v>
      </c>
    </row>
    <row r="1631" spans="13:16" x14ac:dyDescent="0.25">
      <c r="M1631" s="34">
        <v>429581</v>
      </c>
      <c r="N1631" s="2" t="s">
        <v>1326</v>
      </c>
      <c r="O1631" s="2" t="s">
        <v>183</v>
      </c>
      <c r="P1631" s="2" t="str">
        <f t="shared" si="28"/>
        <v>429581-AJUSTE AL PESO-SUBCUENTA</v>
      </c>
    </row>
    <row r="1632" spans="13:16" x14ac:dyDescent="0.25">
      <c r="M1632" s="34">
        <v>429583</v>
      </c>
      <c r="N1632" s="2" t="s">
        <v>1327</v>
      </c>
      <c r="O1632" s="2" t="s">
        <v>183</v>
      </c>
      <c r="P1632" s="2" t="str">
        <f t="shared" si="28"/>
        <v>429583-LLAMADAS TELEFONICAS-SUBCUENTA</v>
      </c>
    </row>
    <row r="1633" spans="13:16" x14ac:dyDescent="0.25">
      <c r="M1633" s="34">
        <v>429599</v>
      </c>
      <c r="N1633" s="2" t="s">
        <v>367</v>
      </c>
      <c r="O1633" s="2" t="s">
        <v>183</v>
      </c>
      <c r="P1633" s="2" t="str">
        <f t="shared" si="28"/>
        <v>429599-AJUSTES POR INFLACION-SUBCUENTA</v>
      </c>
    </row>
    <row r="1634" spans="13:16" x14ac:dyDescent="0.25">
      <c r="M1634" s="34">
        <v>47</v>
      </c>
      <c r="N1634" s="2" t="s">
        <v>367</v>
      </c>
      <c r="O1634" s="2" t="s">
        <v>181</v>
      </c>
      <c r="P1634" s="2" t="str">
        <f t="shared" si="28"/>
        <v>47-AJUSTES POR INFLACION-GRUPO</v>
      </c>
    </row>
    <row r="1635" spans="13:16" x14ac:dyDescent="0.25">
      <c r="M1635" s="34">
        <v>4705</v>
      </c>
      <c r="N1635" s="2" t="s">
        <v>1328</v>
      </c>
      <c r="O1635" s="2" t="s">
        <v>182</v>
      </c>
      <c r="P1635" s="2" t="str">
        <f t="shared" si="28"/>
        <v>4705-CORRECCION MONETARIA-CUENTA</v>
      </c>
    </row>
    <row r="1636" spans="13:16" x14ac:dyDescent="0.25">
      <c r="M1636" s="34">
        <v>470505</v>
      </c>
      <c r="N1636" s="2" t="s">
        <v>1329</v>
      </c>
      <c r="O1636" s="2" t="s">
        <v>183</v>
      </c>
      <c r="P1636" s="2" t="str">
        <f t="shared" si="28"/>
        <v>470505-INVERSIONES (CR)-SUBCUENTA</v>
      </c>
    </row>
    <row r="1637" spans="13:16" x14ac:dyDescent="0.25">
      <c r="M1637" s="34">
        <v>470510</v>
      </c>
      <c r="N1637" s="2" t="s">
        <v>1330</v>
      </c>
      <c r="O1637" s="2" t="s">
        <v>183</v>
      </c>
      <c r="P1637" s="2" t="str">
        <f t="shared" si="28"/>
        <v>470510-INVENTARIOS (CR)-SUBCUENTA</v>
      </c>
    </row>
    <row r="1638" spans="13:16" x14ac:dyDescent="0.25">
      <c r="M1638" s="34">
        <v>470515</v>
      </c>
      <c r="N1638" s="2" t="s">
        <v>1331</v>
      </c>
      <c r="O1638" s="2" t="s">
        <v>183</v>
      </c>
      <c r="P1638" s="2" t="str">
        <f t="shared" si="28"/>
        <v>470515-PROPIEDADES, PLANTA Y EQUIPO (CR)-SUBCUENTA</v>
      </c>
    </row>
    <row r="1639" spans="13:16" x14ac:dyDescent="0.25">
      <c r="M1639" s="34">
        <v>470520</v>
      </c>
      <c r="N1639" s="2" t="s">
        <v>1332</v>
      </c>
      <c r="O1639" s="2" t="s">
        <v>183</v>
      </c>
      <c r="P1639" s="2" t="str">
        <f t="shared" si="28"/>
        <v>470520-INTANGIBLES (CR)-SUBCUENTA</v>
      </c>
    </row>
    <row r="1640" spans="13:16" x14ac:dyDescent="0.25">
      <c r="M1640" s="34">
        <v>470525</v>
      </c>
      <c r="N1640" s="2" t="s">
        <v>1333</v>
      </c>
      <c r="O1640" s="2" t="s">
        <v>183</v>
      </c>
      <c r="P1640" s="2" t="str">
        <f t="shared" si="28"/>
        <v>470525-ACTIVOS DIFERIDOS-SUBCUENTA</v>
      </c>
    </row>
    <row r="1641" spans="13:16" x14ac:dyDescent="0.25">
      <c r="M1641" s="34">
        <v>470530</v>
      </c>
      <c r="N1641" s="2" t="s">
        <v>1334</v>
      </c>
      <c r="O1641" s="2" t="s">
        <v>183</v>
      </c>
      <c r="P1641" s="2" t="str">
        <f t="shared" si="28"/>
        <v>470530-OTROS ACTIVOS (CR)-SUBCUENTA</v>
      </c>
    </row>
    <row r="1642" spans="13:16" x14ac:dyDescent="0.25">
      <c r="M1642" s="34">
        <v>470535</v>
      </c>
      <c r="N1642" s="2" t="s">
        <v>1335</v>
      </c>
      <c r="O1642" s="2" t="s">
        <v>183</v>
      </c>
      <c r="P1642" s="2" t="str">
        <f t="shared" si="28"/>
        <v>470535-PASIVOS SUJETOS DE AJUSTE-SUBCUENTA</v>
      </c>
    </row>
    <row r="1643" spans="13:16" x14ac:dyDescent="0.25">
      <c r="M1643" s="34">
        <v>470540</v>
      </c>
      <c r="N1643" s="2" t="s">
        <v>899</v>
      </c>
      <c r="O1643" s="2" t="s">
        <v>183</v>
      </c>
      <c r="P1643" s="2" t="str">
        <f t="shared" si="28"/>
        <v>470540-PATRIMONIO-SUBCUENTA</v>
      </c>
    </row>
    <row r="1644" spans="13:16" x14ac:dyDescent="0.25">
      <c r="M1644" s="34">
        <v>470545</v>
      </c>
      <c r="N1644" s="2" t="s">
        <v>1336</v>
      </c>
      <c r="O1644" s="2" t="s">
        <v>183</v>
      </c>
      <c r="P1644" s="2" t="str">
        <f t="shared" si="28"/>
        <v>470545-DEPRECIACION ACUMULADA (DB)-SUBCUENTA</v>
      </c>
    </row>
    <row r="1645" spans="13:16" x14ac:dyDescent="0.25">
      <c r="M1645" s="34">
        <v>470550</v>
      </c>
      <c r="N1645" s="2" t="s">
        <v>1337</v>
      </c>
      <c r="O1645" s="2" t="s">
        <v>183</v>
      </c>
      <c r="P1645" s="2" t="str">
        <f t="shared" si="28"/>
        <v>470550-DEPRECIACION DIFERIDA (CR)-SUBCUENTA</v>
      </c>
    </row>
    <row r="1646" spans="13:16" x14ac:dyDescent="0.25">
      <c r="M1646" s="34">
        <v>470555</v>
      </c>
      <c r="N1646" s="2" t="s">
        <v>1338</v>
      </c>
      <c r="O1646" s="2" t="s">
        <v>183</v>
      </c>
      <c r="P1646" s="2" t="str">
        <f t="shared" si="28"/>
        <v>470555-AGOTAMIENTO ACUMULADO (DB)-SUBCUENTA</v>
      </c>
    </row>
    <row r="1647" spans="13:16" x14ac:dyDescent="0.25">
      <c r="M1647" s="34">
        <v>470560</v>
      </c>
      <c r="N1647" s="2" t="s">
        <v>1339</v>
      </c>
      <c r="O1647" s="2" t="s">
        <v>183</v>
      </c>
      <c r="P1647" s="2" t="str">
        <f t="shared" si="28"/>
        <v>470560-AMORTIZACION ACUMULADA (DB)-SUBCUENTA</v>
      </c>
    </row>
    <row r="1648" spans="13:16" x14ac:dyDescent="0.25">
      <c r="M1648" s="34">
        <v>470565</v>
      </c>
      <c r="N1648" s="2" t="s">
        <v>1340</v>
      </c>
      <c r="O1648" s="2" t="s">
        <v>183</v>
      </c>
      <c r="P1648" s="2" t="str">
        <f t="shared" si="28"/>
        <v>470565-INGRESOS OPERACIONALES (DB)-SUBCUENTA</v>
      </c>
    </row>
    <row r="1649" spans="13:16" x14ac:dyDescent="0.25">
      <c r="M1649" s="34">
        <v>470570</v>
      </c>
      <c r="N1649" s="2" t="s">
        <v>1341</v>
      </c>
      <c r="O1649" s="2" t="s">
        <v>183</v>
      </c>
      <c r="P1649" s="2" t="str">
        <f t="shared" si="28"/>
        <v>470570-INGRESOS NO OPERACIONALES (DB)-SUBCUENTA</v>
      </c>
    </row>
    <row r="1650" spans="13:16" x14ac:dyDescent="0.25">
      <c r="M1650" s="34">
        <v>470575</v>
      </c>
      <c r="N1650" s="2" t="s">
        <v>1342</v>
      </c>
      <c r="O1650" s="2" t="s">
        <v>183</v>
      </c>
      <c r="P1650" s="2" t="str">
        <f t="shared" si="28"/>
        <v>470575-GASTOS OPERACIONALES DE ADMINISTRACION (CR)-SUBCUENTA</v>
      </c>
    </row>
    <row r="1651" spans="13:16" x14ac:dyDescent="0.25">
      <c r="M1651" s="34">
        <v>470580</v>
      </c>
      <c r="N1651" s="2" t="s">
        <v>1343</v>
      </c>
      <c r="O1651" s="2" t="s">
        <v>183</v>
      </c>
      <c r="P1651" s="2" t="str">
        <f t="shared" si="28"/>
        <v>470580-GASTOS OPERACIONALES DE VENTAS (CR)-SUBCUENTA</v>
      </c>
    </row>
    <row r="1652" spans="13:16" x14ac:dyDescent="0.25">
      <c r="M1652" s="34">
        <v>470585</v>
      </c>
      <c r="N1652" s="2" t="s">
        <v>1344</v>
      </c>
      <c r="O1652" s="2" t="s">
        <v>183</v>
      </c>
      <c r="P1652" s="2" t="str">
        <f t="shared" si="28"/>
        <v>470585-GASTOS NO OPERACIONALES (CR)-SUBCUENTA</v>
      </c>
    </row>
    <row r="1653" spans="13:16" x14ac:dyDescent="0.25">
      <c r="M1653" s="34">
        <v>470590</v>
      </c>
      <c r="N1653" s="2" t="s">
        <v>1345</v>
      </c>
      <c r="O1653" s="2" t="s">
        <v>183</v>
      </c>
      <c r="P1653" s="2" t="str">
        <f t="shared" si="28"/>
        <v>470590-COMPRAS (CR)-SUBCUENTA</v>
      </c>
    </row>
    <row r="1654" spans="13:16" x14ac:dyDescent="0.25">
      <c r="M1654" s="34">
        <v>470592</v>
      </c>
      <c r="N1654" s="2" t="s">
        <v>1346</v>
      </c>
      <c r="O1654" s="2" t="s">
        <v>183</v>
      </c>
      <c r="P1654" s="2" t="str">
        <f t="shared" si="28"/>
        <v>470592-COSTO DE VENTAS (CR)-SUBCUENTA</v>
      </c>
    </row>
    <row r="1655" spans="13:16" x14ac:dyDescent="0.25">
      <c r="M1655" s="34">
        <v>470594</v>
      </c>
      <c r="N1655" s="2" t="s">
        <v>1347</v>
      </c>
      <c r="O1655" s="2" t="s">
        <v>183</v>
      </c>
      <c r="P1655" s="2" t="str">
        <f t="shared" si="28"/>
        <v>470594-COSTOS DE PRODUCCION O DE OPERACION (DB)-SUBCUENTA</v>
      </c>
    </row>
    <row r="1656" spans="13:16" x14ac:dyDescent="0.25">
      <c r="M1656" s="34">
        <v>5</v>
      </c>
      <c r="N1656" s="2" t="s">
        <v>1348</v>
      </c>
      <c r="O1656" s="2" t="s">
        <v>180</v>
      </c>
      <c r="P1656" s="2" t="str">
        <f t="shared" si="28"/>
        <v>5-GASTOS-CLASE</v>
      </c>
    </row>
    <row r="1657" spans="13:16" x14ac:dyDescent="0.25">
      <c r="M1657" s="34">
        <v>51</v>
      </c>
      <c r="N1657" s="2" t="s">
        <v>1349</v>
      </c>
      <c r="O1657" s="2" t="s">
        <v>181</v>
      </c>
      <c r="P1657" s="2" t="str">
        <f t="shared" si="28"/>
        <v>51-OPERACIONALES DE ADMINISTRACION-GRUPO</v>
      </c>
    </row>
    <row r="1658" spans="13:16" x14ac:dyDescent="0.25">
      <c r="M1658" s="34">
        <v>5105</v>
      </c>
      <c r="N1658" s="2" t="s">
        <v>1350</v>
      </c>
      <c r="O1658" s="2" t="s">
        <v>182</v>
      </c>
      <c r="P1658" s="2" t="str">
        <f t="shared" si="28"/>
        <v>5105-GASTOS DE PERSONAL-CUENTA</v>
      </c>
    </row>
    <row r="1659" spans="13:16" x14ac:dyDescent="0.25">
      <c r="M1659" s="34">
        <v>510503</v>
      </c>
      <c r="N1659" s="2" t="s">
        <v>1351</v>
      </c>
      <c r="O1659" s="2" t="s">
        <v>183</v>
      </c>
      <c r="P1659" s="2" t="str">
        <f t="shared" si="28"/>
        <v>510503-SALARIO INTEGRAL-SUBCUENTA</v>
      </c>
    </row>
    <row r="1660" spans="13:16" x14ac:dyDescent="0.25">
      <c r="M1660" s="34">
        <v>510506</v>
      </c>
      <c r="N1660" s="2" t="s">
        <v>1352</v>
      </c>
      <c r="O1660" s="2" t="s">
        <v>183</v>
      </c>
      <c r="P1660" s="2" t="str">
        <f t="shared" si="28"/>
        <v>510506-SUELDOS-SUBCUENTA</v>
      </c>
    </row>
    <row r="1661" spans="13:16" x14ac:dyDescent="0.25">
      <c r="M1661" s="34">
        <v>510512</v>
      </c>
      <c r="N1661" s="2" t="s">
        <v>1353</v>
      </c>
      <c r="O1661" s="2" t="s">
        <v>183</v>
      </c>
      <c r="P1661" s="2" t="str">
        <f t="shared" si="28"/>
        <v>510512-JORNALES-SUBCUENTA</v>
      </c>
    </row>
    <row r="1662" spans="13:16" x14ac:dyDescent="0.25">
      <c r="M1662" s="34">
        <v>510515</v>
      </c>
      <c r="N1662" s="2" t="s">
        <v>1354</v>
      </c>
      <c r="O1662" s="2" t="s">
        <v>183</v>
      </c>
      <c r="P1662" s="2" t="str">
        <f t="shared" si="28"/>
        <v>510515-HORAS EXTRAS Y RECARGOS-SUBCUENTA</v>
      </c>
    </row>
    <row r="1663" spans="13:16" x14ac:dyDescent="0.25">
      <c r="M1663" s="34">
        <v>510518</v>
      </c>
      <c r="N1663" s="2" t="s">
        <v>432</v>
      </c>
      <c r="O1663" s="2" t="s">
        <v>183</v>
      </c>
      <c r="P1663" s="2" t="str">
        <f t="shared" si="28"/>
        <v>510518-COMISIONES-SUBCUENTA</v>
      </c>
    </row>
    <row r="1664" spans="13:16" x14ac:dyDescent="0.25">
      <c r="M1664" s="34">
        <v>510521</v>
      </c>
      <c r="N1664" s="2" t="s">
        <v>825</v>
      </c>
      <c r="O1664" s="2" t="s">
        <v>183</v>
      </c>
      <c r="P1664" s="2" t="str">
        <f t="shared" si="28"/>
        <v>510521-VIATICOS-SUBCUENTA</v>
      </c>
    </row>
    <row r="1665" spans="13:16" x14ac:dyDescent="0.25">
      <c r="M1665" s="34">
        <v>510524</v>
      </c>
      <c r="N1665" s="2" t="s">
        <v>1355</v>
      </c>
      <c r="O1665" s="2" t="s">
        <v>183</v>
      </c>
      <c r="P1665" s="2" t="str">
        <f t="shared" si="28"/>
        <v>510524-INCAPACIDADES-SUBCUENTA</v>
      </c>
    </row>
    <row r="1666" spans="13:16" x14ac:dyDescent="0.25">
      <c r="M1666" s="34">
        <v>510527</v>
      </c>
      <c r="N1666" s="2" t="s">
        <v>1356</v>
      </c>
      <c r="O1666" s="2" t="s">
        <v>183</v>
      </c>
      <c r="P1666" s="2" t="str">
        <f t="shared" si="28"/>
        <v>510527-AUXILIO DE TRANSPORTE-SUBCUENTA</v>
      </c>
    </row>
    <row r="1667" spans="13:16" x14ac:dyDescent="0.25">
      <c r="M1667" s="34">
        <v>510530</v>
      </c>
      <c r="N1667" s="2" t="s">
        <v>823</v>
      </c>
      <c r="O1667" s="2" t="s">
        <v>183</v>
      </c>
      <c r="P1667" s="2" t="str">
        <f t="shared" si="28"/>
        <v>510530-CESANTIAS-SUBCUENTA</v>
      </c>
    </row>
    <row r="1668" spans="13:16" x14ac:dyDescent="0.25">
      <c r="M1668" s="34">
        <v>510533</v>
      </c>
      <c r="N1668" s="2" t="s">
        <v>808</v>
      </c>
      <c r="O1668" s="2" t="s">
        <v>183</v>
      </c>
      <c r="P1668" s="2" t="str">
        <f t="shared" ref="P1668:P1731" si="29">IF(AND(M1668&lt;&gt;"",N1668&lt;&gt;"",O1668&lt;&gt;""),M1668&amp;"-"&amp;N1668&amp;"-"&amp;O1668,IF(AND(M1668="",N1668&lt;&gt;"",O1668&lt;&gt;""),N1668&amp;"-"&amp;O1668,IF(AND(M1668&lt;&gt;"",N1668="",O1668&lt;&gt;""),M1668&amp;"-"&amp;O1668,IF(AND(M1668&lt;&gt;"",N1668&lt;&gt;"",O1668=""),M1668&amp;"-"&amp;N1668,IF(AND(M1668&lt;&gt;"",N1668="",O1668=""),M1668,"")))))</f>
        <v>510533-INTERESES SOBRE CESANTIAS-SUBCUENTA</v>
      </c>
    </row>
    <row r="1669" spans="13:16" x14ac:dyDescent="0.25">
      <c r="M1669" s="34">
        <v>510536</v>
      </c>
      <c r="N1669" s="2" t="s">
        <v>809</v>
      </c>
      <c r="O1669" s="2" t="s">
        <v>183</v>
      </c>
      <c r="P1669" s="2" t="str">
        <f t="shared" si="29"/>
        <v>510536-PRIMA DE SERVICIOS-SUBCUENTA</v>
      </c>
    </row>
    <row r="1670" spans="13:16" x14ac:dyDescent="0.25">
      <c r="M1670" s="34">
        <v>510539</v>
      </c>
      <c r="N1670" s="2" t="s">
        <v>824</v>
      </c>
      <c r="O1670" s="2" t="s">
        <v>183</v>
      </c>
      <c r="P1670" s="2" t="str">
        <f t="shared" si="29"/>
        <v>510539-VACACIONES-SUBCUENTA</v>
      </c>
    </row>
    <row r="1671" spans="13:16" x14ac:dyDescent="0.25">
      <c r="M1671" s="34">
        <v>510542</v>
      </c>
      <c r="N1671" s="2" t="s">
        <v>1357</v>
      </c>
      <c r="O1671" s="2" t="s">
        <v>183</v>
      </c>
      <c r="P1671" s="2" t="str">
        <f t="shared" si="29"/>
        <v>510542-PRIMAS EXTRALEGALES-SUBCUENTA</v>
      </c>
    </row>
    <row r="1672" spans="13:16" x14ac:dyDescent="0.25">
      <c r="M1672" s="34">
        <v>510545</v>
      </c>
      <c r="N1672" s="2" t="s">
        <v>813</v>
      </c>
      <c r="O1672" s="2" t="s">
        <v>183</v>
      </c>
      <c r="P1672" s="2" t="str">
        <f t="shared" si="29"/>
        <v>510545-AUXILIOS-SUBCUENTA</v>
      </c>
    </row>
    <row r="1673" spans="13:16" x14ac:dyDescent="0.25">
      <c r="M1673" s="34">
        <v>510548</v>
      </c>
      <c r="N1673" s="2" t="s">
        <v>814</v>
      </c>
      <c r="O1673" s="2" t="s">
        <v>183</v>
      </c>
      <c r="P1673" s="2" t="str">
        <f t="shared" si="29"/>
        <v>510548-BONIFICACIONES-SUBCUENTA</v>
      </c>
    </row>
    <row r="1674" spans="13:16" x14ac:dyDescent="0.25">
      <c r="M1674" s="34">
        <v>510551</v>
      </c>
      <c r="N1674" s="2" t="s">
        <v>504</v>
      </c>
      <c r="O1674" s="2" t="s">
        <v>183</v>
      </c>
      <c r="P1674" s="2" t="str">
        <f t="shared" si="29"/>
        <v>510551-DOTACION Y SUMINISTRO A TRABAJADORES-SUBCUENTA</v>
      </c>
    </row>
    <row r="1675" spans="13:16" x14ac:dyDescent="0.25">
      <c r="M1675" s="34">
        <v>510554</v>
      </c>
      <c r="N1675" s="2" t="s">
        <v>737</v>
      </c>
      <c r="O1675" s="2" t="s">
        <v>183</v>
      </c>
      <c r="P1675" s="2" t="str">
        <f t="shared" si="29"/>
        <v>510554-SEGUROS-SUBCUENTA</v>
      </c>
    </row>
    <row r="1676" spans="13:16" x14ac:dyDescent="0.25">
      <c r="M1676" s="34">
        <v>510557</v>
      </c>
      <c r="N1676" s="2" t="s">
        <v>816</v>
      </c>
      <c r="O1676" s="2" t="s">
        <v>183</v>
      </c>
      <c r="P1676" s="2" t="str">
        <f t="shared" si="29"/>
        <v>510557-CUOTAS PARTES PENSIONES DE JUBILACION-SUBCUENTA</v>
      </c>
    </row>
    <row r="1677" spans="13:16" x14ac:dyDescent="0.25">
      <c r="M1677" s="34">
        <v>510558</v>
      </c>
      <c r="N1677" s="2" t="s">
        <v>1358</v>
      </c>
      <c r="O1677" s="2" t="s">
        <v>183</v>
      </c>
      <c r="P1677" s="2" t="str">
        <f t="shared" si="29"/>
        <v>510558-AMORTIZACION CALCULO ACTUARIAL PENSIONES DE JUBILACION-SUBCUENTA</v>
      </c>
    </row>
    <row r="1678" spans="13:16" x14ac:dyDescent="0.25">
      <c r="M1678" s="34">
        <v>510559</v>
      </c>
      <c r="N1678" s="2" t="s">
        <v>827</v>
      </c>
      <c r="O1678" s="2" t="s">
        <v>183</v>
      </c>
      <c r="P1678" s="2" t="str">
        <f t="shared" si="29"/>
        <v>510559-PENSIONES DE JUBILACION-SUBCUENTA</v>
      </c>
    </row>
    <row r="1679" spans="13:16" x14ac:dyDescent="0.25">
      <c r="M1679" s="34">
        <v>510560</v>
      </c>
      <c r="N1679" s="2" t="s">
        <v>817</v>
      </c>
      <c r="O1679" s="2" t="s">
        <v>183</v>
      </c>
      <c r="P1679" s="2" t="str">
        <f t="shared" si="29"/>
        <v>510560-INDEMNIZACIONES LABORALES-SUBCUENTA</v>
      </c>
    </row>
    <row r="1680" spans="13:16" x14ac:dyDescent="0.25">
      <c r="M1680" s="34">
        <v>510563</v>
      </c>
      <c r="N1680" s="2" t="s">
        <v>1359</v>
      </c>
      <c r="O1680" s="2" t="s">
        <v>183</v>
      </c>
      <c r="P1680" s="2" t="str">
        <f t="shared" si="29"/>
        <v>510563-CAPACITACION AL PERSONAL-SUBCUENTA</v>
      </c>
    </row>
    <row r="1681" spans="13:16" x14ac:dyDescent="0.25">
      <c r="M1681" s="34">
        <v>510566</v>
      </c>
      <c r="N1681" s="2" t="s">
        <v>1360</v>
      </c>
      <c r="O1681" s="2" t="s">
        <v>183</v>
      </c>
      <c r="P1681" s="2" t="str">
        <f t="shared" si="29"/>
        <v>510566-GASTOS DEPORTIVOS Y DE RECREACION-SUBCUENTA</v>
      </c>
    </row>
    <row r="1682" spans="13:16" x14ac:dyDescent="0.25">
      <c r="M1682" s="34">
        <v>510569</v>
      </c>
      <c r="N1682" s="2" t="s">
        <v>1361</v>
      </c>
      <c r="O1682" s="2" t="s">
        <v>183</v>
      </c>
      <c r="P1682" s="2" t="str">
        <f t="shared" si="29"/>
        <v>510569-APORTES AL I.S.S-SUBCUENTA</v>
      </c>
    </row>
    <row r="1683" spans="13:16" x14ac:dyDescent="0.25">
      <c r="M1683" s="34">
        <v>510572</v>
      </c>
      <c r="N1683" s="2" t="s">
        <v>1362</v>
      </c>
      <c r="O1683" s="2" t="s">
        <v>183</v>
      </c>
      <c r="P1683" s="2" t="str">
        <f t="shared" si="29"/>
        <v>510572-APORTES CAJAS DE COMPENSACION FAMILIAR-SUBCUENTA</v>
      </c>
    </row>
    <row r="1684" spans="13:16" x14ac:dyDescent="0.25">
      <c r="M1684" s="34">
        <v>510575</v>
      </c>
      <c r="N1684" s="2" t="s">
        <v>1363</v>
      </c>
      <c r="O1684" s="2" t="s">
        <v>183</v>
      </c>
      <c r="P1684" s="2" t="str">
        <f t="shared" si="29"/>
        <v>510575-APORTES I.C.B.F.-SUBCUENTA</v>
      </c>
    </row>
    <row r="1685" spans="13:16" x14ac:dyDescent="0.25">
      <c r="M1685" s="34">
        <v>510578</v>
      </c>
      <c r="N1685" s="2" t="s">
        <v>1364</v>
      </c>
      <c r="O1685" s="2" t="s">
        <v>183</v>
      </c>
      <c r="P1685" s="2" t="str">
        <f t="shared" si="29"/>
        <v>510578-SENA-SUBCUENTA</v>
      </c>
    </row>
    <row r="1686" spans="13:16" x14ac:dyDescent="0.25">
      <c r="M1686" s="34">
        <v>510581</v>
      </c>
      <c r="N1686" s="2" t="s">
        <v>1365</v>
      </c>
      <c r="O1686" s="2" t="s">
        <v>183</v>
      </c>
      <c r="P1686" s="2" t="str">
        <f t="shared" si="29"/>
        <v>510581-APORTES SINDICALES-SUBCUENTA</v>
      </c>
    </row>
    <row r="1687" spans="13:16" x14ac:dyDescent="0.25">
      <c r="M1687" s="34">
        <v>510584</v>
      </c>
      <c r="N1687" s="2" t="s">
        <v>1366</v>
      </c>
      <c r="O1687" s="2" t="s">
        <v>183</v>
      </c>
      <c r="P1687" s="2" t="str">
        <f t="shared" si="29"/>
        <v>510584-GASTOS MEDICOS Y DROGAS-SUBCUENTA</v>
      </c>
    </row>
    <row r="1688" spans="13:16" x14ac:dyDescent="0.25">
      <c r="M1688" s="34">
        <v>510595</v>
      </c>
      <c r="N1688" s="2" t="s">
        <v>323</v>
      </c>
      <c r="O1688" s="2" t="s">
        <v>183</v>
      </c>
      <c r="P1688" s="2" t="str">
        <f t="shared" si="29"/>
        <v>510595-OTROS-SUBCUENTA</v>
      </c>
    </row>
    <row r="1689" spans="13:16" x14ac:dyDescent="0.25">
      <c r="M1689" s="34">
        <v>510599</v>
      </c>
      <c r="N1689" s="2" t="s">
        <v>367</v>
      </c>
      <c r="O1689" s="2" t="s">
        <v>183</v>
      </c>
      <c r="P1689" s="2" t="str">
        <f t="shared" si="29"/>
        <v>510599-AJUSTES POR INFLACION-SUBCUENTA</v>
      </c>
    </row>
    <row r="1690" spans="13:16" x14ac:dyDescent="0.25">
      <c r="M1690" s="34">
        <v>5110</v>
      </c>
      <c r="N1690" s="2" t="s">
        <v>433</v>
      </c>
      <c r="O1690" s="2" t="s">
        <v>182</v>
      </c>
      <c r="P1690" s="2" t="str">
        <f t="shared" si="29"/>
        <v>5110-HONORARIOS-CUENTA</v>
      </c>
    </row>
    <row r="1691" spans="13:16" x14ac:dyDescent="0.25">
      <c r="M1691" s="34">
        <v>511005</v>
      </c>
      <c r="N1691" s="2" t="s">
        <v>1367</v>
      </c>
      <c r="O1691" s="2" t="s">
        <v>183</v>
      </c>
      <c r="P1691" s="2" t="str">
        <f t="shared" si="29"/>
        <v>511005-JUNTA DIRECTIVA-SUBCUENTA</v>
      </c>
    </row>
    <row r="1692" spans="13:16" x14ac:dyDescent="0.25">
      <c r="M1692" s="34">
        <v>511010</v>
      </c>
      <c r="N1692" s="2" t="s">
        <v>1368</v>
      </c>
      <c r="O1692" s="2" t="s">
        <v>183</v>
      </c>
      <c r="P1692" s="2" t="str">
        <f t="shared" si="29"/>
        <v>511010-REVISORÍA FISCAL-SUBCUENTA</v>
      </c>
    </row>
    <row r="1693" spans="13:16" x14ac:dyDescent="0.25">
      <c r="M1693" s="34">
        <v>511015</v>
      </c>
      <c r="N1693" s="2" t="s">
        <v>1369</v>
      </c>
      <c r="O1693" s="2" t="s">
        <v>183</v>
      </c>
      <c r="P1693" s="2" t="str">
        <f t="shared" si="29"/>
        <v>511015-AUDITORIA EXTERNA-SUBCUENTA</v>
      </c>
    </row>
    <row r="1694" spans="13:16" x14ac:dyDescent="0.25">
      <c r="M1694" s="34">
        <v>511020</v>
      </c>
      <c r="N1694" s="2" t="s">
        <v>1370</v>
      </c>
      <c r="O1694" s="2" t="s">
        <v>183</v>
      </c>
      <c r="P1694" s="2" t="str">
        <f t="shared" si="29"/>
        <v>511020-AVALUOS-SUBCUENTA</v>
      </c>
    </row>
    <row r="1695" spans="13:16" x14ac:dyDescent="0.25">
      <c r="M1695" s="34">
        <v>511025</v>
      </c>
      <c r="N1695" s="2" t="s">
        <v>1371</v>
      </c>
      <c r="O1695" s="2" t="s">
        <v>183</v>
      </c>
      <c r="P1695" s="2" t="str">
        <f t="shared" si="29"/>
        <v>511025-ASESORIA JURIDICA-SUBCUENTA</v>
      </c>
    </row>
    <row r="1696" spans="13:16" x14ac:dyDescent="0.25">
      <c r="M1696" s="34">
        <v>511030</v>
      </c>
      <c r="N1696" s="2" t="s">
        <v>1372</v>
      </c>
      <c r="O1696" s="2" t="s">
        <v>183</v>
      </c>
      <c r="P1696" s="2" t="str">
        <f t="shared" si="29"/>
        <v>511030-ASESORIA FINANCIERA-SUBCUENTA</v>
      </c>
    </row>
    <row r="1697" spans="13:16" x14ac:dyDescent="0.25">
      <c r="M1697" s="34">
        <v>511035</v>
      </c>
      <c r="N1697" s="2" t="s">
        <v>1373</v>
      </c>
      <c r="O1697" s="2" t="s">
        <v>183</v>
      </c>
      <c r="P1697" s="2" t="str">
        <f t="shared" si="29"/>
        <v>511035-ASESORIA TECNICA-SUBCUENTA</v>
      </c>
    </row>
    <row r="1698" spans="13:16" x14ac:dyDescent="0.25">
      <c r="M1698" s="34">
        <v>511095</v>
      </c>
      <c r="N1698" s="2" t="s">
        <v>323</v>
      </c>
      <c r="O1698" s="2" t="s">
        <v>183</v>
      </c>
      <c r="P1698" s="2" t="str">
        <f t="shared" si="29"/>
        <v>511095-OTROS-SUBCUENTA</v>
      </c>
    </row>
    <row r="1699" spans="13:16" x14ac:dyDescent="0.25">
      <c r="M1699" s="34">
        <v>511099</v>
      </c>
      <c r="N1699" s="2" t="s">
        <v>367</v>
      </c>
      <c r="O1699" s="2" t="s">
        <v>183</v>
      </c>
      <c r="P1699" s="2" t="str">
        <f t="shared" si="29"/>
        <v>511099-AJUSTES POR INFLACION-SUBCUENTA</v>
      </c>
    </row>
    <row r="1700" spans="13:16" x14ac:dyDescent="0.25">
      <c r="M1700" s="34">
        <v>5115</v>
      </c>
      <c r="N1700" s="2" t="s">
        <v>1374</v>
      </c>
      <c r="O1700" s="2" t="s">
        <v>182</v>
      </c>
      <c r="P1700" s="2" t="str">
        <f t="shared" si="29"/>
        <v>5115-IMPUESTOS-CUENTA</v>
      </c>
    </row>
    <row r="1701" spans="13:16" x14ac:dyDescent="0.25">
      <c r="M1701" s="34">
        <v>511505</v>
      </c>
      <c r="N1701" s="2" t="s">
        <v>1375</v>
      </c>
      <c r="O1701" s="2" t="s">
        <v>183</v>
      </c>
      <c r="P1701" s="2" t="str">
        <f t="shared" si="29"/>
        <v>511505-INDUSTRIA Y COMERCIO-SUBCUENTA</v>
      </c>
    </row>
    <row r="1702" spans="13:16" x14ac:dyDescent="0.25">
      <c r="M1702" s="34">
        <v>511510</v>
      </c>
      <c r="N1702" s="2" t="s">
        <v>1376</v>
      </c>
      <c r="O1702" s="2" t="s">
        <v>183</v>
      </c>
      <c r="P1702" s="2" t="str">
        <f t="shared" si="29"/>
        <v>511510-DE TIMBRES-SUBCUENTA</v>
      </c>
    </row>
    <row r="1703" spans="13:16" x14ac:dyDescent="0.25">
      <c r="M1703" s="34">
        <v>511515</v>
      </c>
      <c r="N1703" s="2" t="s">
        <v>782</v>
      </c>
      <c r="O1703" s="2" t="s">
        <v>183</v>
      </c>
      <c r="P1703" s="2" t="str">
        <f t="shared" si="29"/>
        <v>511515-A LA PROPIEDAD RAIZ-SUBCUENTA</v>
      </c>
    </row>
    <row r="1704" spans="13:16" x14ac:dyDescent="0.25">
      <c r="M1704" s="34">
        <v>511520</v>
      </c>
      <c r="N1704" s="2" t="s">
        <v>783</v>
      </c>
      <c r="O1704" s="2" t="s">
        <v>183</v>
      </c>
      <c r="P1704" s="2" t="str">
        <f t="shared" si="29"/>
        <v>511520-DERECHOS SOBRE INSTRUMENTOS PUBLICOS-SUBCUENTA</v>
      </c>
    </row>
    <row r="1705" spans="13:16" x14ac:dyDescent="0.25">
      <c r="M1705" s="34">
        <v>511525</v>
      </c>
      <c r="N1705" s="2" t="s">
        <v>784</v>
      </c>
      <c r="O1705" s="2" t="s">
        <v>183</v>
      </c>
      <c r="P1705" s="2" t="str">
        <f t="shared" si="29"/>
        <v>511525-DE VALORIZACION-SUBCUENTA</v>
      </c>
    </row>
    <row r="1706" spans="13:16" x14ac:dyDescent="0.25">
      <c r="M1706" s="34">
        <v>511530</v>
      </c>
      <c r="N1706" s="2" t="s">
        <v>785</v>
      </c>
      <c r="O1706" s="2" t="s">
        <v>183</v>
      </c>
      <c r="P1706" s="2" t="str">
        <f t="shared" si="29"/>
        <v>511530-DE TURISMO-SUBCUENTA</v>
      </c>
    </row>
    <row r="1707" spans="13:16" x14ac:dyDescent="0.25">
      <c r="M1707" s="34">
        <v>511535</v>
      </c>
      <c r="N1707" s="2" t="s">
        <v>786</v>
      </c>
      <c r="O1707" s="2" t="s">
        <v>183</v>
      </c>
      <c r="P1707" s="2" t="str">
        <f t="shared" si="29"/>
        <v>511535-TASA POR UTILIZACION DE PUERTOS-SUBCUENTA</v>
      </c>
    </row>
    <row r="1708" spans="13:16" x14ac:dyDescent="0.25">
      <c r="M1708" s="34">
        <v>511540</v>
      </c>
      <c r="N1708" s="2" t="s">
        <v>787</v>
      </c>
      <c r="O1708" s="2" t="s">
        <v>183</v>
      </c>
      <c r="P1708" s="2" t="str">
        <f t="shared" si="29"/>
        <v>511540-DE VEHICULOS-SUBCUENTA</v>
      </c>
    </row>
    <row r="1709" spans="13:16" x14ac:dyDescent="0.25">
      <c r="M1709" s="34">
        <v>511545</v>
      </c>
      <c r="N1709" s="2" t="s">
        <v>788</v>
      </c>
      <c r="O1709" s="2" t="s">
        <v>183</v>
      </c>
      <c r="P1709" s="2" t="str">
        <f t="shared" si="29"/>
        <v>511545-DE ESPECTACULOS PUBLICOS-SUBCUENTA</v>
      </c>
    </row>
    <row r="1710" spans="13:16" x14ac:dyDescent="0.25">
      <c r="M1710" s="34">
        <v>511550</v>
      </c>
      <c r="N1710" s="2" t="s">
        <v>795</v>
      </c>
      <c r="O1710" s="2" t="s">
        <v>183</v>
      </c>
      <c r="P1710" s="2" t="str">
        <f t="shared" si="29"/>
        <v>511550-CUOTAS DE FOMENTO-SUBCUENTA</v>
      </c>
    </row>
    <row r="1711" spans="13:16" x14ac:dyDescent="0.25">
      <c r="M1711" s="34">
        <v>511570</v>
      </c>
      <c r="N1711" s="2" t="s">
        <v>1377</v>
      </c>
      <c r="O1711" s="2" t="s">
        <v>183</v>
      </c>
      <c r="P1711" s="2" t="str">
        <f t="shared" si="29"/>
        <v>511570-IVA DESCONTABLE-SUBCUENTA</v>
      </c>
    </row>
    <row r="1712" spans="13:16" x14ac:dyDescent="0.25">
      <c r="M1712" s="34">
        <v>511595</v>
      </c>
      <c r="N1712" s="2" t="s">
        <v>323</v>
      </c>
      <c r="O1712" s="2" t="s">
        <v>183</v>
      </c>
      <c r="P1712" s="2" t="str">
        <f t="shared" si="29"/>
        <v>511595-OTROS-SUBCUENTA</v>
      </c>
    </row>
    <row r="1713" spans="13:16" x14ac:dyDescent="0.25">
      <c r="M1713" s="34">
        <v>511599</v>
      </c>
      <c r="N1713" s="2" t="s">
        <v>367</v>
      </c>
      <c r="O1713" s="2" t="s">
        <v>183</v>
      </c>
      <c r="P1713" s="2" t="str">
        <f t="shared" si="29"/>
        <v>511599-AJUSTES POR INFLACION-SUBCUENTA</v>
      </c>
    </row>
    <row r="1714" spans="13:16" x14ac:dyDescent="0.25">
      <c r="M1714" s="34">
        <v>5120</v>
      </c>
      <c r="N1714" s="2" t="s">
        <v>435</v>
      </c>
      <c r="O1714" s="2" t="s">
        <v>182</v>
      </c>
      <c r="P1714" s="2" t="str">
        <f t="shared" si="29"/>
        <v>5120-ARRENDAMIENTOS-CUENTA</v>
      </c>
    </row>
    <row r="1715" spans="13:16" x14ac:dyDescent="0.25">
      <c r="M1715" s="34">
        <v>512005</v>
      </c>
      <c r="N1715" s="2" t="s">
        <v>490</v>
      </c>
      <c r="O1715" s="2" t="s">
        <v>183</v>
      </c>
      <c r="P1715" s="2" t="str">
        <f t="shared" si="29"/>
        <v>512005-TERRENOS-SUBCUENTA</v>
      </c>
    </row>
    <row r="1716" spans="13:16" x14ac:dyDescent="0.25">
      <c r="M1716" s="34">
        <v>512010</v>
      </c>
      <c r="N1716" s="2" t="s">
        <v>520</v>
      </c>
      <c r="O1716" s="2" t="s">
        <v>183</v>
      </c>
      <c r="P1716" s="2" t="str">
        <f t="shared" si="29"/>
        <v>512010-CONSTRUCCIONES Y EDIFICACIONES-SUBCUENTA</v>
      </c>
    </row>
    <row r="1717" spans="13:16" x14ac:dyDescent="0.25">
      <c r="M1717" s="34">
        <v>512015</v>
      </c>
      <c r="N1717" s="2" t="s">
        <v>527</v>
      </c>
      <c r="O1717" s="2" t="s">
        <v>183</v>
      </c>
      <c r="P1717" s="2" t="str">
        <f t="shared" si="29"/>
        <v>512015-MAQUINARIA Y EQUIPO-SUBCUENTA</v>
      </c>
    </row>
    <row r="1718" spans="13:16" x14ac:dyDescent="0.25">
      <c r="M1718" s="34">
        <v>512020</v>
      </c>
      <c r="N1718" s="2" t="s">
        <v>528</v>
      </c>
      <c r="O1718" s="2" t="s">
        <v>183</v>
      </c>
      <c r="P1718" s="2" t="str">
        <f t="shared" si="29"/>
        <v>512020-EQUIPO DE OFICINA-SUBCUENTA</v>
      </c>
    </row>
    <row r="1719" spans="13:16" x14ac:dyDescent="0.25">
      <c r="M1719" s="34">
        <v>512025</v>
      </c>
      <c r="N1719" s="2" t="s">
        <v>529</v>
      </c>
      <c r="O1719" s="2" t="s">
        <v>183</v>
      </c>
      <c r="P1719" s="2" t="str">
        <f t="shared" si="29"/>
        <v>512025-EQUIPO DE COMPUTACION Y COMUNICACION-SUBCUENTA</v>
      </c>
    </row>
    <row r="1720" spans="13:16" x14ac:dyDescent="0.25">
      <c r="M1720" s="34">
        <v>512030</v>
      </c>
      <c r="N1720" s="2" t="s">
        <v>561</v>
      </c>
      <c r="O1720" s="2" t="s">
        <v>183</v>
      </c>
      <c r="P1720" s="2" t="str">
        <f t="shared" si="29"/>
        <v>512030-EQUIPO MEDICO - CIENTIFICO-SUBCUENTA</v>
      </c>
    </row>
    <row r="1721" spans="13:16" x14ac:dyDescent="0.25">
      <c r="M1721" s="34">
        <v>512035</v>
      </c>
      <c r="N1721" s="2" t="s">
        <v>531</v>
      </c>
      <c r="O1721" s="2" t="s">
        <v>183</v>
      </c>
      <c r="P1721" s="2" t="str">
        <f t="shared" si="29"/>
        <v>512035-EQUIPO DE HOTELES Y RESTAURANTES-SUBCUENTA</v>
      </c>
    </row>
    <row r="1722" spans="13:16" x14ac:dyDescent="0.25">
      <c r="M1722" s="34">
        <v>512040</v>
      </c>
      <c r="N1722" s="2" t="s">
        <v>532</v>
      </c>
      <c r="O1722" s="2" t="s">
        <v>183</v>
      </c>
      <c r="P1722" s="2" t="str">
        <f t="shared" si="29"/>
        <v>512040-FLOTA Y EQUIPO DE TRANSPORTE-SUBCUENTA</v>
      </c>
    </row>
    <row r="1723" spans="13:16" x14ac:dyDescent="0.25">
      <c r="M1723" s="34">
        <v>512045</v>
      </c>
      <c r="N1723" s="2" t="s">
        <v>533</v>
      </c>
      <c r="O1723" s="2" t="s">
        <v>183</v>
      </c>
      <c r="P1723" s="2" t="str">
        <f t="shared" si="29"/>
        <v>512045-FLOTA Y EQUIPO FLUVIAL Y/O MARITIMO-SUBCUENTA</v>
      </c>
    </row>
    <row r="1724" spans="13:16" x14ac:dyDescent="0.25">
      <c r="M1724" s="34">
        <v>512050</v>
      </c>
      <c r="N1724" s="2" t="s">
        <v>534</v>
      </c>
      <c r="O1724" s="2" t="s">
        <v>183</v>
      </c>
      <c r="P1724" s="2" t="str">
        <f t="shared" si="29"/>
        <v>512050-FLOTA Y EQUIPO AEREO-SUBCUENTA</v>
      </c>
    </row>
    <row r="1725" spans="13:16" x14ac:dyDescent="0.25">
      <c r="M1725" s="34">
        <v>512055</v>
      </c>
      <c r="N1725" s="2" t="s">
        <v>535</v>
      </c>
      <c r="O1725" s="2" t="s">
        <v>183</v>
      </c>
      <c r="P1725" s="2" t="str">
        <f t="shared" si="29"/>
        <v>512055-FLOTA Y EQUIPO FERREO-SUBCUENTA</v>
      </c>
    </row>
    <row r="1726" spans="13:16" x14ac:dyDescent="0.25">
      <c r="M1726" s="34">
        <v>512060</v>
      </c>
      <c r="N1726" s="2" t="s">
        <v>521</v>
      </c>
      <c r="O1726" s="2" t="s">
        <v>183</v>
      </c>
      <c r="P1726" s="2" t="str">
        <f t="shared" si="29"/>
        <v>512060-ACUEDUCTOS PLANTAS Y REDES-SUBCUENTA</v>
      </c>
    </row>
    <row r="1727" spans="13:16" x14ac:dyDescent="0.25">
      <c r="M1727" s="34">
        <v>512065</v>
      </c>
      <c r="N1727" s="2" t="s">
        <v>623</v>
      </c>
      <c r="O1727" s="2" t="s">
        <v>183</v>
      </c>
      <c r="P1727" s="2" t="str">
        <f t="shared" si="29"/>
        <v>512065-AERODROMOS-SUBCUENTA</v>
      </c>
    </row>
    <row r="1728" spans="13:16" x14ac:dyDescent="0.25">
      <c r="M1728" s="34">
        <v>512070</v>
      </c>
      <c r="N1728" s="2" t="s">
        <v>487</v>
      </c>
      <c r="O1728" s="2" t="s">
        <v>183</v>
      </c>
      <c r="P1728" s="2" t="str">
        <f t="shared" si="29"/>
        <v>512070-SEMOVIENTES-SUBCUENTA</v>
      </c>
    </row>
    <row r="1729" spans="13:16" x14ac:dyDescent="0.25">
      <c r="M1729" s="34">
        <v>512095</v>
      </c>
      <c r="N1729" s="2" t="s">
        <v>323</v>
      </c>
      <c r="O1729" s="2" t="s">
        <v>183</v>
      </c>
      <c r="P1729" s="2" t="str">
        <f t="shared" si="29"/>
        <v>512095-OTROS-SUBCUENTA</v>
      </c>
    </row>
    <row r="1730" spans="13:16" x14ac:dyDescent="0.25">
      <c r="M1730" s="34">
        <v>512099</v>
      </c>
      <c r="N1730" s="2" t="s">
        <v>367</v>
      </c>
      <c r="O1730" s="2" t="s">
        <v>183</v>
      </c>
      <c r="P1730" s="2" t="str">
        <f t="shared" si="29"/>
        <v>512099-AJUSTES POR INFLACION-SUBCUENTA</v>
      </c>
    </row>
    <row r="1731" spans="13:16" x14ac:dyDescent="0.25">
      <c r="M1731" s="34">
        <v>5125</v>
      </c>
      <c r="N1731" s="2" t="s">
        <v>670</v>
      </c>
      <c r="O1731" s="2" t="s">
        <v>182</v>
      </c>
      <c r="P1731" s="2" t="str">
        <f t="shared" si="29"/>
        <v>5125-CONTRIBUCIONES Y AFILIACIONES-CUENTA</v>
      </c>
    </row>
    <row r="1732" spans="13:16" x14ac:dyDescent="0.25">
      <c r="M1732" s="34">
        <v>512505</v>
      </c>
      <c r="N1732" s="2" t="s">
        <v>445</v>
      </c>
      <c r="O1732" s="2" t="s">
        <v>183</v>
      </c>
      <c r="P1732" s="2" t="str">
        <f t="shared" ref="P1732:P1795" si="30">IF(AND(M1732&lt;&gt;"",N1732&lt;&gt;"",O1732&lt;&gt;""),M1732&amp;"-"&amp;N1732&amp;"-"&amp;O1732,IF(AND(M1732="",N1732&lt;&gt;"",O1732&lt;&gt;""),N1732&amp;"-"&amp;O1732,IF(AND(M1732&lt;&gt;"",N1732="",O1732&lt;&gt;""),M1732&amp;"-"&amp;O1732,IF(AND(M1732&lt;&gt;"",N1732&lt;&gt;"",O1732=""),M1732&amp;"-"&amp;N1732,IF(AND(M1732&lt;&gt;"",N1732="",O1732=""),M1732,"")))))</f>
        <v>512505-CONTRIBUCIONES-SUBCUENTA</v>
      </c>
    </row>
    <row r="1733" spans="13:16" x14ac:dyDescent="0.25">
      <c r="M1733" s="34">
        <v>512510</v>
      </c>
      <c r="N1733" s="2" t="s">
        <v>1378</v>
      </c>
      <c r="O1733" s="2" t="s">
        <v>183</v>
      </c>
      <c r="P1733" s="2" t="str">
        <f t="shared" si="30"/>
        <v>512510-AFILIACIONES Y SOSTENIMIENTO-SUBCUENTA</v>
      </c>
    </row>
    <row r="1734" spans="13:16" x14ac:dyDescent="0.25">
      <c r="M1734" s="34">
        <v>512599</v>
      </c>
      <c r="N1734" s="2" t="s">
        <v>367</v>
      </c>
      <c r="O1734" s="2" t="s">
        <v>183</v>
      </c>
      <c r="P1734" s="2" t="str">
        <f t="shared" si="30"/>
        <v>512599-AJUSTES POR INFLACION-SUBCUENTA</v>
      </c>
    </row>
    <row r="1735" spans="13:16" x14ac:dyDescent="0.25">
      <c r="M1735" s="34">
        <v>5130</v>
      </c>
      <c r="N1735" s="2" t="s">
        <v>737</v>
      </c>
      <c r="O1735" s="2" t="s">
        <v>182</v>
      </c>
      <c r="P1735" s="2" t="str">
        <f t="shared" si="30"/>
        <v>5130-SEGUROS-CUENTA</v>
      </c>
    </row>
    <row r="1736" spans="13:16" x14ac:dyDescent="0.25">
      <c r="M1736" s="34">
        <v>513005</v>
      </c>
      <c r="N1736" s="2" t="s">
        <v>1379</v>
      </c>
      <c r="O1736" s="2" t="s">
        <v>183</v>
      </c>
      <c r="P1736" s="2" t="str">
        <f t="shared" si="30"/>
        <v>513005-MANEJO-SUBCUENTA</v>
      </c>
    </row>
    <row r="1737" spans="13:16" x14ac:dyDescent="0.25">
      <c r="M1737" s="34">
        <v>513010</v>
      </c>
      <c r="N1737" s="2" t="s">
        <v>1380</v>
      </c>
      <c r="O1737" s="2" t="s">
        <v>183</v>
      </c>
      <c r="P1737" s="2" t="str">
        <f t="shared" si="30"/>
        <v>513010-CUMPLIMIENTO-SUBCUENTA</v>
      </c>
    </row>
    <row r="1738" spans="13:16" x14ac:dyDescent="0.25">
      <c r="M1738" s="34">
        <v>513015</v>
      </c>
      <c r="N1738" s="2" t="s">
        <v>1381</v>
      </c>
      <c r="O1738" s="2" t="s">
        <v>183</v>
      </c>
      <c r="P1738" s="2" t="str">
        <f t="shared" si="30"/>
        <v>513015-CORRIENTE DEBIL-SUBCUENTA</v>
      </c>
    </row>
    <row r="1739" spans="13:16" x14ac:dyDescent="0.25">
      <c r="M1739" s="34">
        <v>513020</v>
      </c>
      <c r="N1739" s="2" t="s">
        <v>1382</v>
      </c>
      <c r="O1739" s="2" t="s">
        <v>183</v>
      </c>
      <c r="P1739" s="2" t="str">
        <f t="shared" si="30"/>
        <v>513020-VIDA COLECTIVA-SUBCUENTA</v>
      </c>
    </row>
    <row r="1740" spans="13:16" x14ac:dyDescent="0.25">
      <c r="M1740" s="34">
        <v>513025</v>
      </c>
      <c r="N1740" s="2" t="s">
        <v>1383</v>
      </c>
      <c r="O1740" s="2" t="s">
        <v>183</v>
      </c>
      <c r="P1740" s="2" t="str">
        <f t="shared" si="30"/>
        <v>513025-INCENDIO-SUBCUENTA</v>
      </c>
    </row>
    <row r="1741" spans="13:16" x14ac:dyDescent="0.25">
      <c r="M1741" s="34">
        <v>513030</v>
      </c>
      <c r="N1741" s="2" t="s">
        <v>1384</v>
      </c>
      <c r="O1741" s="2" t="s">
        <v>183</v>
      </c>
      <c r="P1741" s="2" t="str">
        <f t="shared" si="30"/>
        <v>513030-TERREMOTO-SUBCUENTA</v>
      </c>
    </row>
    <row r="1742" spans="13:16" x14ac:dyDescent="0.25">
      <c r="M1742" s="34">
        <v>513035</v>
      </c>
      <c r="N1742" s="2" t="s">
        <v>1385</v>
      </c>
      <c r="O1742" s="2" t="s">
        <v>183</v>
      </c>
      <c r="P1742" s="2" t="str">
        <f t="shared" si="30"/>
        <v>513035-SUSTRACCION Y HURTO-SUBCUENTA</v>
      </c>
    </row>
    <row r="1743" spans="13:16" x14ac:dyDescent="0.25">
      <c r="M1743" s="34">
        <v>513040</v>
      </c>
      <c r="N1743" s="2" t="s">
        <v>532</v>
      </c>
      <c r="O1743" s="2" t="s">
        <v>183</v>
      </c>
      <c r="P1743" s="2" t="str">
        <f t="shared" si="30"/>
        <v>513040-FLOTA Y EQUIPO DE TRANSPORTE-SUBCUENTA</v>
      </c>
    </row>
    <row r="1744" spans="13:16" x14ac:dyDescent="0.25">
      <c r="M1744" s="34">
        <v>513045</v>
      </c>
      <c r="N1744" s="2" t="s">
        <v>533</v>
      </c>
      <c r="O1744" s="2" t="s">
        <v>183</v>
      </c>
      <c r="P1744" s="2" t="str">
        <f t="shared" si="30"/>
        <v>513045-FLOTA Y EQUIPO FLUVIAL Y/O MARITIMO-SUBCUENTA</v>
      </c>
    </row>
    <row r="1745" spans="13:16" x14ac:dyDescent="0.25">
      <c r="M1745" s="34">
        <v>513050</v>
      </c>
      <c r="N1745" s="2" t="s">
        <v>534</v>
      </c>
      <c r="O1745" s="2" t="s">
        <v>183</v>
      </c>
      <c r="P1745" s="2" t="str">
        <f t="shared" si="30"/>
        <v>513050-FLOTA Y EQUIPO AEREO-SUBCUENTA</v>
      </c>
    </row>
    <row r="1746" spans="13:16" x14ac:dyDescent="0.25">
      <c r="M1746" s="34">
        <v>513055</v>
      </c>
      <c r="N1746" s="2" t="s">
        <v>535</v>
      </c>
      <c r="O1746" s="2" t="s">
        <v>183</v>
      </c>
      <c r="P1746" s="2" t="str">
        <f t="shared" si="30"/>
        <v>513055-FLOTA Y EQUIPO FERREO-SUBCUENTA</v>
      </c>
    </row>
    <row r="1747" spans="13:16" x14ac:dyDescent="0.25">
      <c r="M1747" s="34">
        <v>513060</v>
      </c>
      <c r="N1747" s="2" t="s">
        <v>1386</v>
      </c>
      <c r="O1747" s="2" t="s">
        <v>183</v>
      </c>
      <c r="P1747" s="2" t="str">
        <f t="shared" si="30"/>
        <v>513060-RESPONSABILIDAD CIVIL Y EXTRACONTRACTUAL-SUBCUENTA</v>
      </c>
    </row>
    <row r="1748" spans="13:16" x14ac:dyDescent="0.25">
      <c r="M1748" s="34">
        <v>513065</v>
      </c>
      <c r="N1748" s="2" t="s">
        <v>1387</v>
      </c>
      <c r="O1748" s="2" t="s">
        <v>183</v>
      </c>
      <c r="P1748" s="2" t="str">
        <f t="shared" si="30"/>
        <v>513065-VUELO-SUBCUENTA</v>
      </c>
    </row>
    <row r="1749" spans="13:16" x14ac:dyDescent="0.25">
      <c r="M1749" s="34">
        <v>513070</v>
      </c>
      <c r="N1749" s="2" t="s">
        <v>1388</v>
      </c>
      <c r="O1749" s="2" t="s">
        <v>183</v>
      </c>
      <c r="P1749" s="2" t="str">
        <f t="shared" si="30"/>
        <v>513070-ROTURA DE MAQUINARIA-SUBCUENTA</v>
      </c>
    </row>
    <row r="1750" spans="13:16" x14ac:dyDescent="0.25">
      <c r="M1750" s="34">
        <v>513075</v>
      </c>
      <c r="N1750" s="2" t="s">
        <v>1389</v>
      </c>
      <c r="O1750" s="2" t="s">
        <v>183</v>
      </c>
      <c r="P1750" s="2" t="str">
        <f t="shared" si="30"/>
        <v>513075-OBLIGATORIO ACCIDENTE DE TRANSITO-SUBCUENTA</v>
      </c>
    </row>
    <row r="1751" spans="13:16" x14ac:dyDescent="0.25">
      <c r="M1751" s="34">
        <v>513080</v>
      </c>
      <c r="N1751" s="2" t="s">
        <v>1390</v>
      </c>
      <c r="O1751" s="2" t="s">
        <v>183</v>
      </c>
      <c r="P1751" s="2" t="str">
        <f t="shared" si="30"/>
        <v>513080-LUCRO CESANTE-SUBCUENTA</v>
      </c>
    </row>
    <row r="1752" spans="13:16" x14ac:dyDescent="0.25">
      <c r="M1752" s="34">
        <v>513095</v>
      </c>
      <c r="N1752" s="2" t="s">
        <v>323</v>
      </c>
      <c r="O1752" s="2" t="s">
        <v>183</v>
      </c>
      <c r="P1752" s="2" t="str">
        <f t="shared" si="30"/>
        <v>513095-OTROS-SUBCUENTA</v>
      </c>
    </row>
    <row r="1753" spans="13:16" x14ac:dyDescent="0.25">
      <c r="M1753" s="34">
        <v>513099</v>
      </c>
      <c r="N1753" s="2" t="s">
        <v>367</v>
      </c>
      <c r="O1753" s="2" t="s">
        <v>183</v>
      </c>
      <c r="P1753" s="2" t="str">
        <f t="shared" si="30"/>
        <v>513099-AJUSTES POR INFLACION-SUBCUENTA</v>
      </c>
    </row>
    <row r="1754" spans="13:16" x14ac:dyDescent="0.25">
      <c r="M1754" s="34">
        <v>5135</v>
      </c>
      <c r="N1754" s="2" t="s">
        <v>434</v>
      </c>
      <c r="O1754" s="2" t="s">
        <v>182</v>
      </c>
      <c r="P1754" s="2" t="str">
        <f t="shared" si="30"/>
        <v>5135-SERVICIOS-CUENTA</v>
      </c>
    </row>
    <row r="1755" spans="13:16" x14ac:dyDescent="0.25">
      <c r="M1755" s="34">
        <v>513505</v>
      </c>
      <c r="N1755" s="2" t="s">
        <v>1391</v>
      </c>
      <c r="O1755" s="2" t="s">
        <v>183</v>
      </c>
      <c r="P1755" s="2" t="str">
        <f t="shared" si="30"/>
        <v>513505-ASEO Y VIGILANCIA-SUBCUENTA</v>
      </c>
    </row>
    <row r="1756" spans="13:16" x14ac:dyDescent="0.25">
      <c r="M1756" s="34">
        <v>513510</v>
      </c>
      <c r="N1756" s="2" t="s">
        <v>1392</v>
      </c>
      <c r="O1756" s="2" t="s">
        <v>183</v>
      </c>
      <c r="P1756" s="2" t="str">
        <f t="shared" si="30"/>
        <v>513510-TEMPORALES-SUBCUENTA</v>
      </c>
    </row>
    <row r="1757" spans="13:16" x14ac:dyDescent="0.25">
      <c r="M1757" s="34">
        <v>513515</v>
      </c>
      <c r="N1757" s="2" t="s">
        <v>1258</v>
      </c>
      <c r="O1757" s="2" t="s">
        <v>183</v>
      </c>
      <c r="P1757" s="2" t="str">
        <f t="shared" si="30"/>
        <v>513515-ASISTENCIA TECNICA-SUBCUENTA</v>
      </c>
    </row>
    <row r="1758" spans="13:16" x14ac:dyDescent="0.25">
      <c r="M1758" s="34">
        <v>513520</v>
      </c>
      <c r="N1758" s="2" t="s">
        <v>1393</v>
      </c>
      <c r="O1758" s="2" t="s">
        <v>183</v>
      </c>
      <c r="P1758" s="2" t="str">
        <f t="shared" si="30"/>
        <v>513520-PROCESAMIENTO ELECTRONICO DE DATOS-SUBCUENTA</v>
      </c>
    </row>
    <row r="1759" spans="13:16" x14ac:dyDescent="0.25">
      <c r="M1759" s="34">
        <v>513525</v>
      </c>
      <c r="N1759" s="2" t="s">
        <v>831</v>
      </c>
      <c r="O1759" s="2" t="s">
        <v>183</v>
      </c>
      <c r="P1759" s="2" t="str">
        <f t="shared" si="30"/>
        <v>513525-ACUEDUCTO Y ALCANTARILLADO-SUBCUENTA</v>
      </c>
    </row>
    <row r="1760" spans="13:16" x14ac:dyDescent="0.25">
      <c r="M1760" s="34">
        <v>513530</v>
      </c>
      <c r="N1760" s="2" t="s">
        <v>832</v>
      </c>
      <c r="O1760" s="2" t="s">
        <v>183</v>
      </c>
      <c r="P1760" s="2" t="str">
        <f t="shared" si="30"/>
        <v>513530-ENERGIA ELECTRICA-SUBCUENTA</v>
      </c>
    </row>
    <row r="1761" spans="13:16" x14ac:dyDescent="0.25">
      <c r="M1761" s="34">
        <v>513535</v>
      </c>
      <c r="N1761" s="2" t="s">
        <v>1394</v>
      </c>
      <c r="O1761" s="2" t="s">
        <v>183</v>
      </c>
      <c r="P1761" s="2" t="str">
        <f t="shared" si="30"/>
        <v>513535-TELEFONO-SUBCUENTA</v>
      </c>
    </row>
    <row r="1762" spans="13:16" x14ac:dyDescent="0.25">
      <c r="M1762" s="34">
        <v>513540</v>
      </c>
      <c r="N1762" s="2" t="s">
        <v>1395</v>
      </c>
      <c r="O1762" s="2" t="s">
        <v>183</v>
      </c>
      <c r="P1762" s="2" t="str">
        <f t="shared" si="30"/>
        <v>513540-CORREO, PORTES Y TELEGRAMAS-SUBCUENTA</v>
      </c>
    </row>
    <row r="1763" spans="13:16" x14ac:dyDescent="0.25">
      <c r="M1763" s="34">
        <v>513545</v>
      </c>
      <c r="N1763" s="2" t="s">
        <v>1396</v>
      </c>
      <c r="O1763" s="2" t="s">
        <v>183</v>
      </c>
      <c r="P1763" s="2" t="str">
        <f t="shared" si="30"/>
        <v>513545-FAX Y TELEX-SUBCUENTA</v>
      </c>
    </row>
    <row r="1764" spans="13:16" x14ac:dyDescent="0.25">
      <c r="M1764" s="34">
        <v>513550</v>
      </c>
      <c r="N1764" s="2" t="s">
        <v>1397</v>
      </c>
      <c r="O1764" s="2" t="s">
        <v>183</v>
      </c>
      <c r="P1764" s="2" t="str">
        <f t="shared" si="30"/>
        <v>513550-TRANSPORTE, FLETES Y ACARREOS-SUBCUENTA</v>
      </c>
    </row>
    <row r="1765" spans="13:16" x14ac:dyDescent="0.25">
      <c r="M1765" s="34">
        <v>513555</v>
      </c>
      <c r="N1765" s="2" t="s">
        <v>1398</v>
      </c>
      <c r="O1765" s="2" t="s">
        <v>183</v>
      </c>
      <c r="P1765" s="2" t="str">
        <f t="shared" si="30"/>
        <v>513555-GAS-SUBCUENTA</v>
      </c>
    </row>
    <row r="1766" spans="13:16" x14ac:dyDescent="0.25">
      <c r="M1766" s="34">
        <v>513595</v>
      </c>
      <c r="N1766" s="2" t="s">
        <v>323</v>
      </c>
      <c r="O1766" s="2" t="s">
        <v>183</v>
      </c>
      <c r="P1766" s="2" t="str">
        <f t="shared" si="30"/>
        <v>513595-OTROS-SUBCUENTA</v>
      </c>
    </row>
    <row r="1767" spans="13:16" x14ac:dyDescent="0.25">
      <c r="M1767" s="34">
        <v>513599</v>
      </c>
      <c r="N1767" s="2" t="s">
        <v>367</v>
      </c>
      <c r="O1767" s="2" t="s">
        <v>183</v>
      </c>
      <c r="P1767" s="2" t="str">
        <f t="shared" si="30"/>
        <v>513599-AJUSTES POR INFLACION-SUBCUENTA</v>
      </c>
    </row>
    <row r="1768" spans="13:16" x14ac:dyDescent="0.25">
      <c r="M1768" s="34">
        <v>5140</v>
      </c>
      <c r="N1768" s="2" t="s">
        <v>731</v>
      </c>
      <c r="O1768" s="2" t="s">
        <v>182</v>
      </c>
      <c r="P1768" s="2" t="str">
        <f t="shared" si="30"/>
        <v>5140-GASTOS LEGALES-CUENTA</v>
      </c>
    </row>
    <row r="1769" spans="13:16" x14ac:dyDescent="0.25">
      <c r="M1769" s="34">
        <v>514005</v>
      </c>
      <c r="N1769" s="2" t="s">
        <v>1399</v>
      </c>
      <c r="O1769" s="2" t="s">
        <v>183</v>
      </c>
      <c r="P1769" s="2" t="str">
        <f t="shared" si="30"/>
        <v>514005-NOTARIALES-SUBCUENTA</v>
      </c>
    </row>
    <row r="1770" spans="13:16" x14ac:dyDescent="0.25">
      <c r="M1770" s="34">
        <v>514010</v>
      </c>
      <c r="N1770" s="2" t="s">
        <v>1400</v>
      </c>
      <c r="O1770" s="2" t="s">
        <v>183</v>
      </c>
      <c r="P1770" s="2" t="str">
        <f t="shared" si="30"/>
        <v>514010-REGISTRO MERCANTIL-SUBCUENTA</v>
      </c>
    </row>
    <row r="1771" spans="13:16" x14ac:dyDescent="0.25">
      <c r="M1771" s="34">
        <v>514015</v>
      </c>
      <c r="N1771" s="2" t="s">
        <v>1401</v>
      </c>
      <c r="O1771" s="2" t="s">
        <v>183</v>
      </c>
      <c r="P1771" s="2" t="str">
        <f t="shared" si="30"/>
        <v>514015-TRAMITES Y LICENCIAS-SUBCUENTA</v>
      </c>
    </row>
    <row r="1772" spans="13:16" x14ac:dyDescent="0.25">
      <c r="M1772" s="34">
        <v>514020</v>
      </c>
      <c r="N1772" s="2" t="s">
        <v>1402</v>
      </c>
      <c r="O1772" s="2" t="s">
        <v>183</v>
      </c>
      <c r="P1772" s="2" t="str">
        <f t="shared" si="30"/>
        <v>514020-ADUANEROS-SUBCUENTA</v>
      </c>
    </row>
    <row r="1773" spans="13:16" x14ac:dyDescent="0.25">
      <c r="M1773" s="34">
        <v>514025</v>
      </c>
      <c r="N1773" s="2" t="s">
        <v>1403</v>
      </c>
      <c r="O1773" s="2" t="s">
        <v>183</v>
      </c>
      <c r="P1773" s="2" t="str">
        <f t="shared" si="30"/>
        <v>514025-CONSULARES-SUBCUENTA</v>
      </c>
    </row>
    <row r="1774" spans="13:16" x14ac:dyDescent="0.25">
      <c r="M1774" s="34">
        <v>514095</v>
      </c>
      <c r="N1774" s="2" t="s">
        <v>323</v>
      </c>
      <c r="O1774" s="2" t="s">
        <v>183</v>
      </c>
      <c r="P1774" s="2" t="str">
        <f t="shared" si="30"/>
        <v>514095-OTROS-SUBCUENTA</v>
      </c>
    </row>
    <row r="1775" spans="13:16" x14ac:dyDescent="0.25">
      <c r="M1775" s="34">
        <v>514099</v>
      </c>
      <c r="N1775" s="2" t="s">
        <v>367</v>
      </c>
      <c r="O1775" s="2" t="s">
        <v>183</v>
      </c>
      <c r="P1775" s="2" t="str">
        <f t="shared" si="30"/>
        <v>514099-AJUSTES POR INFLACION-SUBCUENTA</v>
      </c>
    </row>
    <row r="1776" spans="13:16" x14ac:dyDescent="0.25">
      <c r="M1776" s="34">
        <v>5145</v>
      </c>
      <c r="N1776" s="2" t="s">
        <v>1404</v>
      </c>
      <c r="O1776" s="2" t="s">
        <v>182</v>
      </c>
      <c r="P1776" s="2" t="str">
        <f t="shared" si="30"/>
        <v>5145-MANTENIMIENTO Y REPARACIONES-CUENTA</v>
      </c>
    </row>
    <row r="1777" spans="13:16" x14ac:dyDescent="0.25">
      <c r="M1777" s="34">
        <v>514505</v>
      </c>
      <c r="N1777" s="2" t="s">
        <v>490</v>
      </c>
      <c r="O1777" s="2" t="s">
        <v>183</v>
      </c>
      <c r="P1777" s="2" t="str">
        <f t="shared" si="30"/>
        <v>514505-TERRENOS-SUBCUENTA</v>
      </c>
    </row>
    <row r="1778" spans="13:16" x14ac:dyDescent="0.25">
      <c r="M1778" s="34">
        <v>514510</v>
      </c>
      <c r="N1778" s="2" t="s">
        <v>520</v>
      </c>
      <c r="O1778" s="2" t="s">
        <v>183</v>
      </c>
      <c r="P1778" s="2" t="str">
        <f t="shared" si="30"/>
        <v>514510-CONSTRUCCIONES Y EDIFICACIONES-SUBCUENTA</v>
      </c>
    </row>
    <row r="1779" spans="13:16" x14ac:dyDescent="0.25">
      <c r="M1779" s="34">
        <v>514515</v>
      </c>
      <c r="N1779" s="2" t="s">
        <v>527</v>
      </c>
      <c r="O1779" s="2" t="s">
        <v>183</v>
      </c>
      <c r="P1779" s="2" t="str">
        <f t="shared" si="30"/>
        <v>514515-MAQUINARIA Y EQUIPO-SUBCUENTA</v>
      </c>
    </row>
    <row r="1780" spans="13:16" x14ac:dyDescent="0.25">
      <c r="M1780" s="34">
        <v>514520</v>
      </c>
      <c r="N1780" s="2" t="s">
        <v>528</v>
      </c>
      <c r="O1780" s="2" t="s">
        <v>183</v>
      </c>
      <c r="P1780" s="2" t="str">
        <f t="shared" si="30"/>
        <v>514520-EQUIPO DE OFICINA-SUBCUENTA</v>
      </c>
    </row>
    <row r="1781" spans="13:16" x14ac:dyDescent="0.25">
      <c r="M1781" s="34">
        <v>514525</v>
      </c>
      <c r="N1781" s="2" t="s">
        <v>529</v>
      </c>
      <c r="O1781" s="2" t="s">
        <v>183</v>
      </c>
      <c r="P1781" s="2" t="str">
        <f t="shared" si="30"/>
        <v>514525-EQUIPO DE COMPUTACION Y COMUNICACION-SUBCUENTA</v>
      </c>
    </row>
    <row r="1782" spans="13:16" x14ac:dyDescent="0.25">
      <c r="M1782" s="34">
        <v>514530</v>
      </c>
      <c r="N1782" s="2" t="s">
        <v>530</v>
      </c>
      <c r="O1782" s="2" t="s">
        <v>183</v>
      </c>
      <c r="P1782" s="2" t="str">
        <f t="shared" si="30"/>
        <v>514530-EQUIPO MEDICO-CIENTIFICO-SUBCUENTA</v>
      </c>
    </row>
    <row r="1783" spans="13:16" x14ac:dyDescent="0.25">
      <c r="M1783" s="34">
        <v>514535</v>
      </c>
      <c r="N1783" s="2" t="s">
        <v>531</v>
      </c>
      <c r="O1783" s="2" t="s">
        <v>183</v>
      </c>
      <c r="P1783" s="2" t="str">
        <f t="shared" si="30"/>
        <v>514535-EQUIPO DE HOTELES Y RESTAURANTES-SUBCUENTA</v>
      </c>
    </row>
    <row r="1784" spans="13:16" x14ac:dyDescent="0.25">
      <c r="M1784" s="34">
        <v>514540</v>
      </c>
      <c r="N1784" s="2" t="s">
        <v>532</v>
      </c>
      <c r="O1784" s="2" t="s">
        <v>183</v>
      </c>
      <c r="P1784" s="2" t="str">
        <f t="shared" si="30"/>
        <v>514540-FLOTA Y EQUIPO DE TRANSPORTE-SUBCUENTA</v>
      </c>
    </row>
    <row r="1785" spans="13:16" x14ac:dyDescent="0.25">
      <c r="M1785" s="34">
        <v>514545</v>
      </c>
      <c r="N1785" s="2" t="s">
        <v>533</v>
      </c>
      <c r="O1785" s="2" t="s">
        <v>183</v>
      </c>
      <c r="P1785" s="2" t="str">
        <f t="shared" si="30"/>
        <v>514545-FLOTA Y EQUIPO FLUVIAL Y/O MARITIMO-SUBCUENTA</v>
      </c>
    </row>
    <row r="1786" spans="13:16" x14ac:dyDescent="0.25">
      <c r="M1786" s="34">
        <v>514550</v>
      </c>
      <c r="N1786" s="2" t="s">
        <v>534</v>
      </c>
      <c r="O1786" s="2" t="s">
        <v>183</v>
      </c>
      <c r="P1786" s="2" t="str">
        <f t="shared" si="30"/>
        <v>514550-FLOTA Y EQUIPO AEREO-SUBCUENTA</v>
      </c>
    </row>
    <row r="1787" spans="13:16" x14ac:dyDescent="0.25">
      <c r="M1787" s="34">
        <v>514555</v>
      </c>
      <c r="N1787" s="2" t="s">
        <v>535</v>
      </c>
      <c r="O1787" s="2" t="s">
        <v>183</v>
      </c>
      <c r="P1787" s="2" t="str">
        <f t="shared" si="30"/>
        <v>514555-FLOTA Y EQUIPO FERREO-SUBCUENTA</v>
      </c>
    </row>
    <row r="1788" spans="13:16" x14ac:dyDescent="0.25">
      <c r="M1788" s="34">
        <v>514560</v>
      </c>
      <c r="N1788" s="2" t="s">
        <v>521</v>
      </c>
      <c r="O1788" s="2" t="s">
        <v>183</v>
      </c>
      <c r="P1788" s="2" t="str">
        <f t="shared" si="30"/>
        <v>514560-ACUEDUCTOS PLANTAS Y REDES-SUBCUENTA</v>
      </c>
    </row>
    <row r="1789" spans="13:16" x14ac:dyDescent="0.25">
      <c r="M1789" s="34">
        <v>514565</v>
      </c>
      <c r="N1789" s="2" t="s">
        <v>616</v>
      </c>
      <c r="O1789" s="2" t="s">
        <v>183</v>
      </c>
      <c r="P1789" s="2" t="str">
        <f t="shared" si="30"/>
        <v>514565-ARMAMENTO DE VIGILANCIA-SUBCUENTA</v>
      </c>
    </row>
    <row r="1790" spans="13:16" x14ac:dyDescent="0.25">
      <c r="M1790" s="34">
        <v>514570</v>
      </c>
      <c r="N1790" s="2" t="s">
        <v>522</v>
      </c>
      <c r="O1790" s="2" t="s">
        <v>183</v>
      </c>
      <c r="P1790" s="2" t="str">
        <f t="shared" si="30"/>
        <v>514570-VIAS DE COMUNICACION-SUBCUENTA</v>
      </c>
    </row>
    <row r="1791" spans="13:16" x14ac:dyDescent="0.25">
      <c r="M1791" s="34">
        <v>514599</v>
      </c>
      <c r="N1791" s="2" t="s">
        <v>367</v>
      </c>
      <c r="O1791" s="2" t="s">
        <v>183</v>
      </c>
      <c r="P1791" s="2" t="str">
        <f t="shared" si="30"/>
        <v>514599-AJUSTES POR INFLACION-SUBCUENTA</v>
      </c>
    </row>
    <row r="1792" spans="13:16" x14ac:dyDescent="0.25">
      <c r="M1792" s="34">
        <v>5150</v>
      </c>
      <c r="N1792" s="2" t="s">
        <v>1405</v>
      </c>
      <c r="O1792" s="2" t="s">
        <v>182</v>
      </c>
      <c r="P1792" s="2" t="str">
        <f t="shared" si="30"/>
        <v>5150-ADECUACION E INSTALACION-CUENTA</v>
      </c>
    </row>
    <row r="1793" spans="13:16" x14ac:dyDescent="0.25">
      <c r="M1793" s="34">
        <v>515005</v>
      </c>
      <c r="N1793" s="2" t="s">
        <v>1406</v>
      </c>
      <c r="O1793" s="2" t="s">
        <v>183</v>
      </c>
      <c r="P1793" s="2" t="str">
        <f t="shared" si="30"/>
        <v>515005-INSTALACIONES ELECTRICAS-SUBCUENTA</v>
      </c>
    </row>
    <row r="1794" spans="13:16" x14ac:dyDescent="0.25">
      <c r="M1794" s="34">
        <v>515010</v>
      </c>
      <c r="N1794" s="2" t="s">
        <v>1407</v>
      </c>
      <c r="O1794" s="2" t="s">
        <v>183</v>
      </c>
      <c r="P1794" s="2" t="str">
        <f t="shared" si="30"/>
        <v>515010-ARREGLOS ORNAMENTALES-SUBCUENTA</v>
      </c>
    </row>
    <row r="1795" spans="13:16" x14ac:dyDescent="0.25">
      <c r="M1795" s="34">
        <v>515015</v>
      </c>
      <c r="N1795" s="2" t="s">
        <v>1408</v>
      </c>
      <c r="O1795" s="2" t="s">
        <v>183</v>
      </c>
      <c r="P1795" s="2" t="str">
        <f t="shared" si="30"/>
        <v>515015-REPARACIONES LOCATIVAS-SUBCUENTA</v>
      </c>
    </row>
    <row r="1796" spans="13:16" x14ac:dyDescent="0.25">
      <c r="M1796" s="34">
        <v>515095</v>
      </c>
      <c r="N1796" s="2" t="s">
        <v>323</v>
      </c>
      <c r="O1796" s="2" t="s">
        <v>183</v>
      </c>
      <c r="P1796" s="2" t="str">
        <f t="shared" ref="P1796:P1859" si="31">IF(AND(M1796&lt;&gt;"",N1796&lt;&gt;"",O1796&lt;&gt;""),M1796&amp;"-"&amp;N1796&amp;"-"&amp;O1796,IF(AND(M1796="",N1796&lt;&gt;"",O1796&lt;&gt;""),N1796&amp;"-"&amp;O1796,IF(AND(M1796&lt;&gt;"",N1796="",O1796&lt;&gt;""),M1796&amp;"-"&amp;O1796,IF(AND(M1796&lt;&gt;"",N1796&lt;&gt;"",O1796=""),M1796&amp;"-"&amp;N1796,IF(AND(M1796&lt;&gt;"",N1796="",O1796=""),M1796,"")))))</f>
        <v>515095-OTROS-SUBCUENTA</v>
      </c>
    </row>
    <row r="1797" spans="13:16" x14ac:dyDescent="0.25">
      <c r="M1797" s="34">
        <v>515099</v>
      </c>
      <c r="N1797" s="2" t="s">
        <v>367</v>
      </c>
      <c r="O1797" s="2" t="s">
        <v>183</v>
      </c>
      <c r="P1797" s="2" t="str">
        <f t="shared" si="31"/>
        <v>515099-AJUSTES POR INFLACION-SUBCUENTA</v>
      </c>
    </row>
    <row r="1798" spans="13:16" x14ac:dyDescent="0.25">
      <c r="M1798" s="34">
        <v>5155</v>
      </c>
      <c r="N1798" s="2" t="s">
        <v>738</v>
      </c>
      <c r="O1798" s="2" t="s">
        <v>182</v>
      </c>
      <c r="P1798" s="2" t="str">
        <f t="shared" si="31"/>
        <v>5155-GASTOS DE VIAJE-CUENTA</v>
      </c>
    </row>
    <row r="1799" spans="13:16" x14ac:dyDescent="0.25">
      <c r="M1799" s="34">
        <v>515505</v>
      </c>
      <c r="N1799" s="2" t="s">
        <v>1409</v>
      </c>
      <c r="O1799" s="2" t="s">
        <v>183</v>
      </c>
      <c r="P1799" s="2" t="str">
        <f t="shared" si="31"/>
        <v>515505-ALOJAMIENTO Y MANUTENCION-SUBCUENTA</v>
      </c>
    </row>
    <row r="1800" spans="13:16" x14ac:dyDescent="0.25">
      <c r="M1800" s="34">
        <v>515510</v>
      </c>
      <c r="N1800" s="2" t="s">
        <v>1410</v>
      </c>
      <c r="O1800" s="2" t="s">
        <v>183</v>
      </c>
      <c r="P1800" s="2" t="str">
        <f t="shared" si="31"/>
        <v>515510-PASAJES FLUVIALES Y/O MARITIMOS-SUBCUENTA</v>
      </c>
    </row>
    <row r="1801" spans="13:16" x14ac:dyDescent="0.25">
      <c r="M1801" s="34">
        <v>515515</v>
      </c>
      <c r="N1801" s="2" t="s">
        <v>1411</v>
      </c>
      <c r="O1801" s="2" t="s">
        <v>183</v>
      </c>
      <c r="P1801" s="2" t="str">
        <f t="shared" si="31"/>
        <v>515515-PASAJES AEREOS-SUBCUENTA</v>
      </c>
    </row>
    <row r="1802" spans="13:16" x14ac:dyDescent="0.25">
      <c r="M1802" s="34">
        <v>515520</v>
      </c>
      <c r="N1802" s="2" t="s">
        <v>1412</v>
      </c>
      <c r="O1802" s="2" t="s">
        <v>183</v>
      </c>
      <c r="P1802" s="2" t="str">
        <f t="shared" si="31"/>
        <v>515520-PASAJES TERRESTRES-SUBCUENTA</v>
      </c>
    </row>
    <row r="1803" spans="13:16" x14ac:dyDescent="0.25">
      <c r="M1803" s="34">
        <v>515525</v>
      </c>
      <c r="N1803" s="2" t="s">
        <v>1413</v>
      </c>
      <c r="O1803" s="2" t="s">
        <v>183</v>
      </c>
      <c r="P1803" s="2" t="str">
        <f t="shared" si="31"/>
        <v>515525-PASAJES FERREOS-SUBCUENTA</v>
      </c>
    </row>
    <row r="1804" spans="13:16" x14ac:dyDescent="0.25">
      <c r="M1804" s="34">
        <v>515595</v>
      </c>
      <c r="N1804" s="2" t="s">
        <v>323</v>
      </c>
      <c r="O1804" s="2" t="s">
        <v>183</v>
      </c>
      <c r="P1804" s="2" t="str">
        <f t="shared" si="31"/>
        <v>515595-OTROS-SUBCUENTA</v>
      </c>
    </row>
    <row r="1805" spans="13:16" x14ac:dyDescent="0.25">
      <c r="M1805" s="34">
        <v>515599</v>
      </c>
      <c r="N1805" s="2" t="s">
        <v>367</v>
      </c>
      <c r="O1805" s="2" t="s">
        <v>183</v>
      </c>
      <c r="P1805" s="2" t="str">
        <f t="shared" si="31"/>
        <v>515599-AJUSTES POR INFLACION-SUBCUENTA</v>
      </c>
    </row>
    <row r="1806" spans="13:16" x14ac:dyDescent="0.25">
      <c r="M1806" s="34">
        <v>5160</v>
      </c>
      <c r="N1806" s="2" t="s">
        <v>1414</v>
      </c>
      <c r="O1806" s="2" t="s">
        <v>182</v>
      </c>
      <c r="P1806" s="2" t="str">
        <f t="shared" si="31"/>
        <v>5160-DEPRECIACIONES-CUENTA</v>
      </c>
    </row>
    <row r="1807" spans="13:16" x14ac:dyDescent="0.25">
      <c r="M1807" s="34">
        <v>516005</v>
      </c>
      <c r="N1807" s="2" t="s">
        <v>520</v>
      </c>
      <c r="O1807" s="2" t="s">
        <v>183</v>
      </c>
      <c r="P1807" s="2" t="str">
        <f t="shared" si="31"/>
        <v>516005-CONSTRUCCIONES Y EDIFICACIONES-SUBCUENTA</v>
      </c>
    </row>
    <row r="1808" spans="13:16" x14ac:dyDescent="0.25">
      <c r="M1808" s="34">
        <v>516010</v>
      </c>
      <c r="N1808" s="2" t="s">
        <v>527</v>
      </c>
      <c r="O1808" s="2" t="s">
        <v>183</v>
      </c>
      <c r="P1808" s="2" t="str">
        <f t="shared" si="31"/>
        <v>516010-MAQUINARIA Y EQUIPO-SUBCUENTA</v>
      </c>
    </row>
    <row r="1809" spans="13:16" x14ac:dyDescent="0.25">
      <c r="M1809" s="34">
        <v>516015</v>
      </c>
      <c r="N1809" s="2" t="s">
        <v>528</v>
      </c>
      <c r="O1809" s="2" t="s">
        <v>183</v>
      </c>
      <c r="P1809" s="2" t="str">
        <f t="shared" si="31"/>
        <v>516015-EQUIPO DE OFICINA-SUBCUENTA</v>
      </c>
    </row>
    <row r="1810" spans="13:16" x14ac:dyDescent="0.25">
      <c r="M1810" s="34">
        <v>516020</v>
      </c>
      <c r="N1810" s="2" t="s">
        <v>529</v>
      </c>
      <c r="O1810" s="2" t="s">
        <v>183</v>
      </c>
      <c r="P1810" s="2" t="str">
        <f t="shared" si="31"/>
        <v>516020-EQUIPO DE COMPUTACION Y COMUNICACION-SUBCUENTA</v>
      </c>
    </row>
    <row r="1811" spans="13:16" x14ac:dyDescent="0.25">
      <c r="M1811" s="34">
        <v>516025</v>
      </c>
      <c r="N1811" s="2" t="s">
        <v>561</v>
      </c>
      <c r="O1811" s="2" t="s">
        <v>183</v>
      </c>
      <c r="P1811" s="2" t="str">
        <f t="shared" si="31"/>
        <v>516025-EQUIPO MEDICO - CIENTIFICO-SUBCUENTA</v>
      </c>
    </row>
    <row r="1812" spans="13:16" x14ac:dyDescent="0.25">
      <c r="M1812" s="34">
        <v>516030</v>
      </c>
      <c r="N1812" s="2" t="s">
        <v>531</v>
      </c>
      <c r="O1812" s="2" t="s">
        <v>183</v>
      </c>
      <c r="P1812" s="2" t="str">
        <f t="shared" si="31"/>
        <v>516030-EQUIPO DE HOTELES Y RESTAURANTES-SUBCUENTA</v>
      </c>
    </row>
    <row r="1813" spans="13:16" x14ac:dyDescent="0.25">
      <c r="M1813" s="34">
        <v>516035</v>
      </c>
      <c r="N1813" s="2" t="s">
        <v>532</v>
      </c>
      <c r="O1813" s="2" t="s">
        <v>183</v>
      </c>
      <c r="P1813" s="2" t="str">
        <f t="shared" si="31"/>
        <v>516035-FLOTA Y EQUIPO DE TRANSPORTE-SUBCUENTA</v>
      </c>
    </row>
    <row r="1814" spans="13:16" x14ac:dyDescent="0.25">
      <c r="M1814" s="34">
        <v>516040</v>
      </c>
      <c r="N1814" s="2" t="s">
        <v>533</v>
      </c>
      <c r="O1814" s="2" t="s">
        <v>183</v>
      </c>
      <c r="P1814" s="2" t="str">
        <f t="shared" si="31"/>
        <v>516040-FLOTA Y EQUIPO FLUVIAL Y/O MARITIMO-SUBCUENTA</v>
      </c>
    </row>
    <row r="1815" spans="13:16" x14ac:dyDescent="0.25">
      <c r="M1815" s="34">
        <v>516045</v>
      </c>
      <c r="N1815" s="2" t="s">
        <v>534</v>
      </c>
      <c r="O1815" s="2" t="s">
        <v>183</v>
      </c>
      <c r="P1815" s="2" t="str">
        <f t="shared" si="31"/>
        <v>516045-FLOTA Y EQUIPO AEREO-SUBCUENTA</v>
      </c>
    </row>
    <row r="1816" spans="13:16" x14ac:dyDescent="0.25">
      <c r="M1816" s="34">
        <v>516050</v>
      </c>
      <c r="N1816" s="2" t="s">
        <v>535</v>
      </c>
      <c r="O1816" s="2" t="s">
        <v>183</v>
      </c>
      <c r="P1816" s="2" t="str">
        <f t="shared" si="31"/>
        <v>516050-FLOTA Y EQUIPO FERREO-SUBCUENTA</v>
      </c>
    </row>
    <row r="1817" spans="13:16" x14ac:dyDescent="0.25">
      <c r="M1817" s="34">
        <v>516055</v>
      </c>
      <c r="N1817" s="2" t="s">
        <v>637</v>
      </c>
      <c r="O1817" s="2" t="s">
        <v>183</v>
      </c>
      <c r="P1817" s="2" t="str">
        <f t="shared" si="31"/>
        <v>516055-ACUEDUCTOS, PLANTAS Y REDES-SUBCUENTA</v>
      </c>
    </row>
    <row r="1818" spans="13:16" x14ac:dyDescent="0.25">
      <c r="M1818" s="34">
        <v>516060</v>
      </c>
      <c r="N1818" s="2" t="s">
        <v>616</v>
      </c>
      <c r="O1818" s="2" t="s">
        <v>183</v>
      </c>
      <c r="P1818" s="2" t="str">
        <f t="shared" si="31"/>
        <v>516060-ARMAMENTO DE VIGILANCIA-SUBCUENTA</v>
      </c>
    </row>
    <row r="1819" spans="13:16" x14ac:dyDescent="0.25">
      <c r="M1819" s="34">
        <v>516099</v>
      </c>
      <c r="N1819" s="2" t="s">
        <v>367</v>
      </c>
      <c r="O1819" s="2" t="s">
        <v>183</v>
      </c>
      <c r="P1819" s="2" t="str">
        <f t="shared" si="31"/>
        <v>516099-AJUSTES POR INFLACION-SUBCUENTA</v>
      </c>
    </row>
    <row r="1820" spans="13:16" x14ac:dyDescent="0.25">
      <c r="M1820" s="34">
        <v>5165</v>
      </c>
      <c r="N1820" s="2" t="s">
        <v>1415</v>
      </c>
      <c r="O1820" s="2" t="s">
        <v>182</v>
      </c>
      <c r="P1820" s="2" t="str">
        <f t="shared" si="31"/>
        <v>5165-AMORTIZACIONES-CUENTA</v>
      </c>
    </row>
    <row r="1821" spans="13:16" x14ac:dyDescent="0.25">
      <c r="M1821" s="34">
        <v>516505</v>
      </c>
      <c r="N1821" s="2" t="s">
        <v>522</v>
      </c>
      <c r="O1821" s="2" t="s">
        <v>183</v>
      </c>
      <c r="P1821" s="2" t="str">
        <f t="shared" si="31"/>
        <v>516505-VIAS DE COMUNICACION-SUBCUENTA</v>
      </c>
    </row>
    <row r="1822" spans="13:16" x14ac:dyDescent="0.25">
      <c r="M1822" s="34">
        <v>516510</v>
      </c>
      <c r="N1822" s="2" t="s">
        <v>638</v>
      </c>
      <c r="O1822" s="2" t="s">
        <v>183</v>
      </c>
      <c r="P1822" s="2" t="str">
        <f t="shared" si="31"/>
        <v>516510-INTANGIBLES-SUBCUENTA</v>
      </c>
    </row>
    <row r="1823" spans="13:16" x14ac:dyDescent="0.25">
      <c r="M1823" s="34">
        <v>516515</v>
      </c>
      <c r="N1823" s="2" t="s">
        <v>663</v>
      </c>
      <c r="O1823" s="2" t="s">
        <v>183</v>
      </c>
      <c r="P1823" s="2" t="str">
        <f t="shared" si="31"/>
        <v>516515-CARGOS DIFERIDOS-SUBCUENTA</v>
      </c>
    </row>
    <row r="1824" spans="13:16" x14ac:dyDescent="0.25">
      <c r="M1824" s="34">
        <v>516595</v>
      </c>
      <c r="N1824" s="2" t="s">
        <v>328</v>
      </c>
      <c r="O1824" s="2" t="s">
        <v>183</v>
      </c>
      <c r="P1824" s="2" t="str">
        <f t="shared" si="31"/>
        <v>516595-OTRAS-SUBCUENTA</v>
      </c>
    </row>
    <row r="1825" spans="13:16" x14ac:dyDescent="0.25">
      <c r="M1825" s="34">
        <v>516599</v>
      </c>
      <c r="N1825" s="2" t="s">
        <v>367</v>
      </c>
      <c r="O1825" s="2" t="s">
        <v>183</v>
      </c>
      <c r="P1825" s="2" t="str">
        <f t="shared" si="31"/>
        <v>516599-AJUSTES POR INFLACION-SUBCUENTA</v>
      </c>
    </row>
    <row r="1826" spans="13:16" x14ac:dyDescent="0.25">
      <c r="M1826" s="34">
        <v>5195</v>
      </c>
      <c r="N1826" s="2" t="s">
        <v>693</v>
      </c>
      <c r="O1826" s="2" t="s">
        <v>182</v>
      </c>
      <c r="P1826" s="2" t="str">
        <f t="shared" si="31"/>
        <v>5195-DIVERSOS-CUENTA</v>
      </c>
    </row>
    <row r="1827" spans="13:16" x14ac:dyDescent="0.25">
      <c r="M1827" s="34">
        <v>519505</v>
      </c>
      <c r="N1827" s="2" t="s">
        <v>432</v>
      </c>
      <c r="O1827" s="2" t="s">
        <v>183</v>
      </c>
      <c r="P1827" s="2" t="str">
        <f t="shared" si="31"/>
        <v>519505-COMISIONES-SUBCUENTA</v>
      </c>
    </row>
    <row r="1828" spans="13:16" x14ac:dyDescent="0.25">
      <c r="M1828" s="34">
        <v>519510</v>
      </c>
      <c r="N1828" s="2" t="s">
        <v>732</v>
      </c>
      <c r="O1828" s="2" t="s">
        <v>183</v>
      </c>
      <c r="P1828" s="2" t="str">
        <f t="shared" si="31"/>
        <v>519510-LIBROS, SUSCRIPCIONES, PERIODICOS Y REVISTAS-SUBCUENTA</v>
      </c>
    </row>
    <row r="1829" spans="13:16" x14ac:dyDescent="0.25">
      <c r="M1829" s="34">
        <v>519515</v>
      </c>
      <c r="N1829" s="2" t="s">
        <v>1416</v>
      </c>
      <c r="O1829" s="2" t="s">
        <v>183</v>
      </c>
      <c r="P1829" s="2" t="str">
        <f t="shared" si="31"/>
        <v>519515-MUSICA AMBIENTAL-SUBCUENTA</v>
      </c>
    </row>
    <row r="1830" spans="13:16" x14ac:dyDescent="0.25">
      <c r="M1830" s="34">
        <v>519520</v>
      </c>
      <c r="N1830" s="2" t="s">
        <v>739</v>
      </c>
      <c r="O1830" s="2" t="s">
        <v>183</v>
      </c>
      <c r="P1830" s="2" t="str">
        <f t="shared" si="31"/>
        <v>519520-GASTOS DE REPRESENTACION Y RELACIONES PUBLICAS-SUBCUENTA</v>
      </c>
    </row>
    <row r="1831" spans="13:16" x14ac:dyDescent="0.25">
      <c r="M1831" s="34">
        <v>519525</v>
      </c>
      <c r="N1831" s="2" t="s">
        <v>674</v>
      </c>
      <c r="O1831" s="2" t="s">
        <v>183</v>
      </c>
      <c r="P1831" s="2" t="str">
        <f t="shared" si="31"/>
        <v>519525-ELEMENTOS DE ASEO Y CAFETERIA-SUBCUENTA</v>
      </c>
    </row>
    <row r="1832" spans="13:16" x14ac:dyDescent="0.25">
      <c r="M1832" s="34">
        <v>519530</v>
      </c>
      <c r="N1832" s="2" t="s">
        <v>1321</v>
      </c>
      <c r="O1832" s="2" t="s">
        <v>183</v>
      </c>
      <c r="P1832" s="2" t="str">
        <f t="shared" si="31"/>
        <v>519530-UTILES, PAPELERIA Y FOTOCOPIAS-SUBCUENTA</v>
      </c>
    </row>
    <row r="1833" spans="13:16" x14ac:dyDescent="0.25">
      <c r="M1833" s="34">
        <v>519535</v>
      </c>
      <c r="N1833" s="2" t="s">
        <v>494</v>
      </c>
      <c r="O1833" s="2" t="s">
        <v>183</v>
      </c>
      <c r="P1833" s="2" t="str">
        <f t="shared" si="31"/>
        <v>519535-COMBUSTIBLES Y LUBRICANTES-SUBCUENTA</v>
      </c>
    </row>
    <row r="1834" spans="13:16" x14ac:dyDescent="0.25">
      <c r="M1834" s="34"/>
      <c r="N1834" s="2" t="s">
        <v>188</v>
      </c>
      <c r="O1834" s="2" t="s">
        <v>188</v>
      </c>
      <c r="P1834" s="2" t="str">
        <f t="shared" si="31"/>
        <v/>
      </c>
    </row>
    <row r="1835" spans="13:16" x14ac:dyDescent="0.25">
      <c r="M1835" s="34">
        <v>519540</v>
      </c>
      <c r="N1835" s="2" t="s">
        <v>506</v>
      </c>
      <c r="O1835" s="2" t="s">
        <v>183</v>
      </c>
      <c r="P1835" s="2" t="str">
        <f t="shared" si="31"/>
        <v>519540-ENVASES Y EMPAQUES-SUBCUENTA</v>
      </c>
    </row>
    <row r="1836" spans="13:16" x14ac:dyDescent="0.25">
      <c r="M1836" s="34">
        <v>519545</v>
      </c>
      <c r="N1836" s="2" t="s">
        <v>1417</v>
      </c>
      <c r="O1836" s="2" t="s">
        <v>183</v>
      </c>
      <c r="P1836" s="2" t="str">
        <f t="shared" si="31"/>
        <v>519545-TAXIS Y BUSES-SUBCUENTA</v>
      </c>
    </row>
    <row r="1837" spans="13:16" x14ac:dyDescent="0.25">
      <c r="M1837" s="34">
        <v>519550</v>
      </c>
      <c r="N1837" s="2" t="s">
        <v>699</v>
      </c>
      <c r="O1837" s="2" t="s">
        <v>183</v>
      </c>
      <c r="P1837" s="2" t="str">
        <f t="shared" si="31"/>
        <v>519550-ESTAMPILLAS-SUBCUENTA</v>
      </c>
    </row>
    <row r="1838" spans="13:16" x14ac:dyDescent="0.25">
      <c r="M1838" s="34">
        <v>519555</v>
      </c>
      <c r="N1838" s="2" t="s">
        <v>1418</v>
      </c>
      <c r="O1838" s="2" t="s">
        <v>183</v>
      </c>
      <c r="P1838" s="2" t="str">
        <f t="shared" si="31"/>
        <v>519555-MICROFILMACION-SUBCUENTA</v>
      </c>
    </row>
    <row r="1839" spans="13:16" x14ac:dyDescent="0.25">
      <c r="M1839" s="34">
        <v>519560</v>
      </c>
      <c r="N1839" s="2" t="s">
        <v>1419</v>
      </c>
      <c r="O1839" s="2" t="s">
        <v>183</v>
      </c>
      <c r="P1839" s="2" t="str">
        <f t="shared" si="31"/>
        <v>519560-CASINO Y RESTAURANTE-SUBCUENTA</v>
      </c>
    </row>
    <row r="1840" spans="13:16" x14ac:dyDescent="0.25">
      <c r="M1840" s="34">
        <v>519565</v>
      </c>
      <c r="N1840" s="2" t="s">
        <v>1420</v>
      </c>
      <c r="O1840" s="2" t="s">
        <v>183</v>
      </c>
      <c r="P1840" s="2" t="str">
        <f t="shared" si="31"/>
        <v>519565-PARQUEADEROS-SUBCUENTA</v>
      </c>
    </row>
    <row r="1841" spans="13:16" x14ac:dyDescent="0.25">
      <c r="M1841" s="34">
        <v>519570</v>
      </c>
      <c r="N1841" s="2" t="s">
        <v>1421</v>
      </c>
      <c r="O1841" s="2" t="s">
        <v>183</v>
      </c>
      <c r="P1841" s="2" t="str">
        <f t="shared" si="31"/>
        <v>519570-INDEMNIZACION POR DAÑOS A TERCEROS-SUBCUENTA</v>
      </c>
    </row>
    <row r="1842" spans="13:16" x14ac:dyDescent="0.25">
      <c r="M1842" s="34">
        <v>519575</v>
      </c>
      <c r="N1842" s="2" t="s">
        <v>1422</v>
      </c>
      <c r="O1842" s="2" t="s">
        <v>183</v>
      </c>
      <c r="P1842" s="2" t="str">
        <f t="shared" si="31"/>
        <v>519575-POLVORA Y SIMILARES-SUBCUENTA</v>
      </c>
    </row>
    <row r="1843" spans="13:16" x14ac:dyDescent="0.25">
      <c r="M1843" s="34">
        <v>519595</v>
      </c>
      <c r="N1843" s="2" t="s">
        <v>323</v>
      </c>
      <c r="O1843" s="2" t="s">
        <v>183</v>
      </c>
      <c r="P1843" s="2" t="str">
        <f t="shared" si="31"/>
        <v>519595-OTROS-SUBCUENTA</v>
      </c>
    </row>
    <row r="1844" spans="13:16" x14ac:dyDescent="0.25">
      <c r="M1844" s="34">
        <v>519599</v>
      </c>
      <c r="N1844" s="2" t="s">
        <v>367</v>
      </c>
      <c r="O1844" s="2" t="s">
        <v>183</v>
      </c>
      <c r="P1844" s="2" t="str">
        <f t="shared" si="31"/>
        <v>519599-AJUSTES POR INFLACION-SUBCUENTA</v>
      </c>
    </row>
    <row r="1845" spans="13:16" x14ac:dyDescent="0.25">
      <c r="M1845" s="34">
        <v>5199</v>
      </c>
      <c r="N1845" s="2" t="s">
        <v>379</v>
      </c>
      <c r="O1845" s="2" t="s">
        <v>182</v>
      </c>
      <c r="P1845" s="2" t="str">
        <f t="shared" si="31"/>
        <v>5199-PROVISIONES-CUENTA</v>
      </c>
    </row>
    <row r="1846" spans="13:16" x14ac:dyDescent="0.25">
      <c r="M1846" s="34">
        <v>519905</v>
      </c>
      <c r="N1846" s="2" t="s">
        <v>319</v>
      </c>
      <c r="O1846" s="2" t="s">
        <v>183</v>
      </c>
      <c r="P1846" s="2" t="str">
        <f t="shared" si="31"/>
        <v>519905-INVERSIONES-SUBCUENTA</v>
      </c>
    </row>
    <row r="1847" spans="13:16" x14ac:dyDescent="0.25">
      <c r="M1847" s="34">
        <v>519910</v>
      </c>
      <c r="N1847" s="2" t="s">
        <v>381</v>
      </c>
      <c r="O1847" s="2" t="s">
        <v>183</v>
      </c>
      <c r="P1847" s="2" t="str">
        <f t="shared" si="31"/>
        <v>519910-DEUDORES-SUBCUENTA</v>
      </c>
    </row>
    <row r="1848" spans="13:16" x14ac:dyDescent="0.25">
      <c r="M1848" s="34">
        <v>519915</v>
      </c>
      <c r="N1848" s="2" t="s">
        <v>1423</v>
      </c>
      <c r="O1848" s="2" t="s">
        <v>183</v>
      </c>
      <c r="P1848" s="2" t="str">
        <f t="shared" si="31"/>
        <v>519915-PROPIEDADES, PLANTA Y EQUIPO-SUBCUENTA</v>
      </c>
    </row>
    <row r="1849" spans="13:16" x14ac:dyDescent="0.25">
      <c r="M1849" s="34">
        <v>519995</v>
      </c>
      <c r="N1849" s="2" t="s">
        <v>689</v>
      </c>
      <c r="O1849" s="2" t="s">
        <v>183</v>
      </c>
      <c r="P1849" s="2" t="str">
        <f t="shared" si="31"/>
        <v>519995-OTROS ACTIVOS-SUBCUENTA</v>
      </c>
    </row>
    <row r="1850" spans="13:16" x14ac:dyDescent="0.25">
      <c r="M1850" s="34">
        <v>519999</v>
      </c>
      <c r="N1850" s="2" t="s">
        <v>367</v>
      </c>
      <c r="O1850" s="2" t="s">
        <v>183</v>
      </c>
      <c r="P1850" s="2" t="str">
        <f t="shared" si="31"/>
        <v>519999-AJUSTES POR INFLACION-SUBCUENTA</v>
      </c>
    </row>
    <row r="1851" spans="13:16" x14ac:dyDescent="0.25">
      <c r="M1851" s="34">
        <v>52</v>
      </c>
      <c r="N1851" s="2" t="s">
        <v>1424</v>
      </c>
      <c r="O1851" s="2" t="s">
        <v>181</v>
      </c>
      <c r="P1851" s="2" t="str">
        <f t="shared" si="31"/>
        <v>52-OPERACIONALES DE VENTAS-GRUPO</v>
      </c>
    </row>
    <row r="1852" spans="13:16" x14ac:dyDescent="0.25">
      <c r="M1852" s="34">
        <v>5205</v>
      </c>
      <c r="N1852" s="2" t="s">
        <v>1350</v>
      </c>
      <c r="O1852" s="2" t="s">
        <v>182</v>
      </c>
      <c r="P1852" s="2" t="str">
        <f t="shared" si="31"/>
        <v>5205-GASTOS DE PERSONAL-CUENTA</v>
      </c>
    </row>
    <row r="1853" spans="13:16" x14ac:dyDescent="0.25">
      <c r="M1853" s="34">
        <v>520503</v>
      </c>
      <c r="N1853" s="2" t="s">
        <v>1351</v>
      </c>
      <c r="O1853" s="2" t="s">
        <v>183</v>
      </c>
      <c r="P1853" s="2" t="str">
        <f t="shared" si="31"/>
        <v>520503-SALARIO INTEGRAL-SUBCUENTA</v>
      </c>
    </row>
    <row r="1854" spans="13:16" x14ac:dyDescent="0.25">
      <c r="M1854" s="34">
        <v>520506</v>
      </c>
      <c r="N1854" s="2" t="s">
        <v>1352</v>
      </c>
      <c r="O1854" s="2" t="s">
        <v>183</v>
      </c>
      <c r="P1854" s="2" t="str">
        <f t="shared" si="31"/>
        <v>520506-SUELDOS-SUBCUENTA</v>
      </c>
    </row>
    <row r="1855" spans="13:16" x14ac:dyDescent="0.25">
      <c r="M1855" s="34">
        <v>520512</v>
      </c>
      <c r="N1855" s="2" t="s">
        <v>1353</v>
      </c>
      <c r="O1855" s="2" t="s">
        <v>183</v>
      </c>
      <c r="P1855" s="2" t="str">
        <f t="shared" si="31"/>
        <v>520512-JORNALES-SUBCUENTA</v>
      </c>
    </row>
    <row r="1856" spans="13:16" x14ac:dyDescent="0.25">
      <c r="M1856" s="34">
        <v>520515</v>
      </c>
      <c r="N1856" s="2" t="s">
        <v>1354</v>
      </c>
      <c r="O1856" s="2" t="s">
        <v>183</v>
      </c>
      <c r="P1856" s="2" t="str">
        <f t="shared" si="31"/>
        <v>520515-HORAS EXTRAS Y RECARGOS-SUBCUENTA</v>
      </c>
    </row>
    <row r="1857" spans="13:16" x14ac:dyDescent="0.25">
      <c r="M1857" s="34">
        <v>520518</v>
      </c>
      <c r="N1857" s="2" t="s">
        <v>432</v>
      </c>
      <c r="O1857" s="2" t="s">
        <v>183</v>
      </c>
      <c r="P1857" s="2" t="str">
        <f t="shared" si="31"/>
        <v>520518-COMISIONES-SUBCUENTA</v>
      </c>
    </row>
    <row r="1858" spans="13:16" x14ac:dyDescent="0.25">
      <c r="M1858" s="34">
        <v>520521</v>
      </c>
      <c r="N1858" s="2" t="s">
        <v>825</v>
      </c>
      <c r="O1858" s="2" t="s">
        <v>183</v>
      </c>
      <c r="P1858" s="2" t="str">
        <f t="shared" si="31"/>
        <v>520521-VIATICOS-SUBCUENTA</v>
      </c>
    </row>
    <row r="1859" spans="13:16" x14ac:dyDescent="0.25">
      <c r="M1859" s="34">
        <v>520524</v>
      </c>
      <c r="N1859" s="2" t="s">
        <v>1355</v>
      </c>
      <c r="O1859" s="2" t="s">
        <v>183</v>
      </c>
      <c r="P1859" s="2" t="str">
        <f t="shared" si="31"/>
        <v>520524-INCAPACIDADES-SUBCUENTA</v>
      </c>
    </row>
    <row r="1860" spans="13:16" x14ac:dyDescent="0.25">
      <c r="M1860" s="34">
        <v>520527</v>
      </c>
      <c r="N1860" s="2" t="s">
        <v>1356</v>
      </c>
      <c r="O1860" s="2" t="s">
        <v>183</v>
      </c>
      <c r="P1860" s="2" t="str">
        <f t="shared" ref="P1860:P1923" si="32">IF(AND(M1860&lt;&gt;"",N1860&lt;&gt;"",O1860&lt;&gt;""),M1860&amp;"-"&amp;N1860&amp;"-"&amp;O1860,IF(AND(M1860="",N1860&lt;&gt;"",O1860&lt;&gt;""),N1860&amp;"-"&amp;O1860,IF(AND(M1860&lt;&gt;"",N1860="",O1860&lt;&gt;""),M1860&amp;"-"&amp;O1860,IF(AND(M1860&lt;&gt;"",N1860&lt;&gt;"",O1860=""),M1860&amp;"-"&amp;N1860,IF(AND(M1860&lt;&gt;"",N1860="",O1860=""),M1860,"")))))</f>
        <v>520527-AUXILIO DE TRANSPORTE-SUBCUENTA</v>
      </c>
    </row>
    <row r="1861" spans="13:16" x14ac:dyDescent="0.25">
      <c r="M1861" s="34">
        <v>520530</v>
      </c>
      <c r="N1861" s="2" t="s">
        <v>823</v>
      </c>
      <c r="O1861" s="2" t="s">
        <v>183</v>
      </c>
      <c r="P1861" s="2" t="str">
        <f t="shared" si="32"/>
        <v>520530-CESANTIAS-SUBCUENTA</v>
      </c>
    </row>
    <row r="1862" spans="13:16" x14ac:dyDescent="0.25">
      <c r="M1862" s="34">
        <v>520533</v>
      </c>
      <c r="N1862" s="2" t="s">
        <v>808</v>
      </c>
      <c r="O1862" s="2" t="s">
        <v>183</v>
      </c>
      <c r="P1862" s="2" t="str">
        <f t="shared" si="32"/>
        <v>520533-INTERESES SOBRE CESANTIAS-SUBCUENTA</v>
      </c>
    </row>
    <row r="1863" spans="13:16" x14ac:dyDescent="0.25">
      <c r="M1863" s="34">
        <v>520536</v>
      </c>
      <c r="N1863" s="2" t="s">
        <v>809</v>
      </c>
      <c r="O1863" s="2" t="s">
        <v>183</v>
      </c>
      <c r="P1863" s="2" t="str">
        <f t="shared" si="32"/>
        <v>520536-PRIMA DE SERVICIOS-SUBCUENTA</v>
      </c>
    </row>
    <row r="1864" spans="13:16" x14ac:dyDescent="0.25">
      <c r="M1864" s="34">
        <v>520539</v>
      </c>
      <c r="N1864" s="2" t="s">
        <v>824</v>
      </c>
      <c r="O1864" s="2" t="s">
        <v>183</v>
      </c>
      <c r="P1864" s="2" t="str">
        <f t="shared" si="32"/>
        <v>520539-VACACIONES-SUBCUENTA</v>
      </c>
    </row>
    <row r="1865" spans="13:16" x14ac:dyDescent="0.25">
      <c r="M1865" s="34">
        <v>520542</v>
      </c>
      <c r="N1865" s="2" t="s">
        <v>1357</v>
      </c>
      <c r="O1865" s="2" t="s">
        <v>183</v>
      </c>
      <c r="P1865" s="2" t="str">
        <f t="shared" si="32"/>
        <v>520542-PRIMAS EXTRALEGALES-SUBCUENTA</v>
      </c>
    </row>
    <row r="1866" spans="13:16" x14ac:dyDescent="0.25">
      <c r="M1866" s="34">
        <v>520545</v>
      </c>
      <c r="N1866" s="2" t="s">
        <v>813</v>
      </c>
      <c r="O1866" s="2" t="s">
        <v>183</v>
      </c>
      <c r="P1866" s="2" t="str">
        <f t="shared" si="32"/>
        <v>520545-AUXILIOS-SUBCUENTA</v>
      </c>
    </row>
    <row r="1867" spans="13:16" x14ac:dyDescent="0.25">
      <c r="M1867" s="34">
        <v>520548</v>
      </c>
      <c r="N1867" s="2" t="s">
        <v>814</v>
      </c>
      <c r="O1867" s="2" t="s">
        <v>183</v>
      </c>
      <c r="P1867" s="2" t="str">
        <f t="shared" si="32"/>
        <v>520548-BONIFICACIONES-SUBCUENTA</v>
      </c>
    </row>
    <row r="1868" spans="13:16" x14ac:dyDescent="0.25">
      <c r="M1868" s="34">
        <v>520551</v>
      </c>
      <c r="N1868" s="2" t="s">
        <v>504</v>
      </c>
      <c r="O1868" s="2" t="s">
        <v>183</v>
      </c>
      <c r="P1868" s="2" t="str">
        <f t="shared" si="32"/>
        <v>520551-DOTACION Y SUMINISTRO A TRABAJADORES-SUBCUENTA</v>
      </c>
    </row>
    <row r="1869" spans="13:16" x14ac:dyDescent="0.25">
      <c r="M1869" s="34">
        <v>520554</v>
      </c>
      <c r="N1869" s="2" t="s">
        <v>737</v>
      </c>
      <c r="O1869" s="2" t="s">
        <v>183</v>
      </c>
      <c r="P1869" s="2" t="str">
        <f t="shared" si="32"/>
        <v>520554-SEGUROS-SUBCUENTA</v>
      </c>
    </row>
    <row r="1870" spans="13:16" x14ac:dyDescent="0.25">
      <c r="M1870" s="34">
        <v>520557</v>
      </c>
      <c r="N1870" s="2" t="s">
        <v>816</v>
      </c>
      <c r="O1870" s="2" t="s">
        <v>183</v>
      </c>
      <c r="P1870" s="2" t="str">
        <f t="shared" si="32"/>
        <v>520557-CUOTAS PARTES PENSIONES DE JUBILACION-SUBCUENTA</v>
      </c>
    </row>
    <row r="1871" spans="13:16" x14ac:dyDescent="0.25">
      <c r="M1871" s="34">
        <v>520558</v>
      </c>
      <c r="N1871" s="2" t="s">
        <v>1358</v>
      </c>
      <c r="O1871" s="2" t="s">
        <v>183</v>
      </c>
      <c r="P1871" s="2" t="str">
        <f t="shared" si="32"/>
        <v>520558-AMORTIZACION CALCULO ACTUARIAL PENSIONES DE JUBILACION-SUBCUENTA</v>
      </c>
    </row>
    <row r="1872" spans="13:16" x14ac:dyDescent="0.25">
      <c r="M1872" s="34">
        <v>520559</v>
      </c>
      <c r="N1872" s="2" t="s">
        <v>827</v>
      </c>
      <c r="O1872" s="2" t="s">
        <v>183</v>
      </c>
      <c r="P1872" s="2" t="str">
        <f t="shared" si="32"/>
        <v>520559-PENSIONES DE JUBILACION-SUBCUENTA</v>
      </c>
    </row>
    <row r="1873" spans="13:16" x14ac:dyDescent="0.25">
      <c r="M1873" s="34">
        <v>520560</v>
      </c>
      <c r="N1873" s="2" t="s">
        <v>817</v>
      </c>
      <c r="O1873" s="2" t="s">
        <v>183</v>
      </c>
      <c r="P1873" s="2" t="str">
        <f t="shared" si="32"/>
        <v>520560-INDEMNIZACIONES LABORALES-SUBCUENTA</v>
      </c>
    </row>
    <row r="1874" spans="13:16" x14ac:dyDescent="0.25">
      <c r="M1874" s="34">
        <v>520563</v>
      </c>
      <c r="N1874" s="2" t="s">
        <v>1359</v>
      </c>
      <c r="O1874" s="2" t="s">
        <v>183</v>
      </c>
      <c r="P1874" s="2" t="str">
        <f t="shared" si="32"/>
        <v>520563-CAPACITACION AL PERSONAL-SUBCUENTA</v>
      </c>
    </row>
    <row r="1875" spans="13:16" x14ac:dyDescent="0.25">
      <c r="M1875" s="34">
        <v>520566</v>
      </c>
      <c r="N1875" s="2" t="s">
        <v>1360</v>
      </c>
      <c r="O1875" s="2" t="s">
        <v>183</v>
      </c>
      <c r="P1875" s="2" t="str">
        <f t="shared" si="32"/>
        <v>520566-GASTOS DEPORTIVOS Y DE RECREACION-SUBCUENTA</v>
      </c>
    </row>
    <row r="1876" spans="13:16" x14ac:dyDescent="0.25">
      <c r="M1876" s="34">
        <v>520569</v>
      </c>
      <c r="N1876" s="2" t="s">
        <v>1361</v>
      </c>
      <c r="O1876" s="2" t="s">
        <v>183</v>
      </c>
      <c r="P1876" s="2" t="str">
        <f t="shared" si="32"/>
        <v>520569-APORTES AL I.S.S-SUBCUENTA</v>
      </c>
    </row>
    <row r="1877" spans="13:16" x14ac:dyDescent="0.25">
      <c r="M1877" s="34">
        <v>520572</v>
      </c>
      <c r="N1877" s="2" t="s">
        <v>1362</v>
      </c>
      <c r="O1877" s="2" t="s">
        <v>183</v>
      </c>
      <c r="P1877" s="2" t="str">
        <f t="shared" si="32"/>
        <v>520572-APORTES CAJAS DE COMPENSACION FAMILIAR-SUBCUENTA</v>
      </c>
    </row>
    <row r="1878" spans="13:16" x14ac:dyDescent="0.25">
      <c r="M1878" s="34">
        <v>520575</v>
      </c>
      <c r="N1878" s="2" t="s">
        <v>1363</v>
      </c>
      <c r="O1878" s="2" t="s">
        <v>183</v>
      </c>
      <c r="P1878" s="2" t="str">
        <f t="shared" si="32"/>
        <v>520575-APORTES I.C.B.F.-SUBCUENTA</v>
      </c>
    </row>
    <row r="1879" spans="13:16" x14ac:dyDescent="0.25">
      <c r="M1879" s="34">
        <v>520578</v>
      </c>
      <c r="N1879" s="2" t="s">
        <v>1364</v>
      </c>
      <c r="O1879" s="2" t="s">
        <v>183</v>
      </c>
      <c r="P1879" s="2" t="str">
        <f t="shared" si="32"/>
        <v>520578-SENA-SUBCUENTA</v>
      </c>
    </row>
    <row r="1880" spans="13:16" x14ac:dyDescent="0.25">
      <c r="M1880" s="34">
        <v>520581</v>
      </c>
      <c r="N1880" s="2" t="s">
        <v>1365</v>
      </c>
      <c r="O1880" s="2" t="s">
        <v>183</v>
      </c>
      <c r="P1880" s="2" t="str">
        <f t="shared" si="32"/>
        <v>520581-APORTES SINDICALES-SUBCUENTA</v>
      </c>
    </row>
    <row r="1881" spans="13:16" x14ac:dyDescent="0.25">
      <c r="M1881" s="34">
        <v>520584</v>
      </c>
      <c r="N1881" s="2" t="s">
        <v>1366</v>
      </c>
      <c r="O1881" s="2" t="s">
        <v>183</v>
      </c>
      <c r="P1881" s="2" t="str">
        <f t="shared" si="32"/>
        <v>520584-GASTOS MEDICOS Y DROGAS-SUBCUENTA</v>
      </c>
    </row>
    <row r="1882" spans="13:16" x14ac:dyDescent="0.25">
      <c r="M1882" s="34">
        <v>520595</v>
      </c>
      <c r="N1882" s="2" t="s">
        <v>323</v>
      </c>
      <c r="O1882" s="2" t="s">
        <v>183</v>
      </c>
      <c r="P1882" s="2" t="str">
        <f t="shared" si="32"/>
        <v>520595-OTROS-SUBCUENTA</v>
      </c>
    </row>
    <row r="1883" spans="13:16" x14ac:dyDescent="0.25">
      <c r="M1883" s="34">
        <v>520599</v>
      </c>
      <c r="N1883" s="2" t="s">
        <v>367</v>
      </c>
      <c r="O1883" s="2" t="s">
        <v>183</v>
      </c>
      <c r="P1883" s="2" t="str">
        <f t="shared" si="32"/>
        <v>520599-AJUSTES POR INFLACION-SUBCUENTA</v>
      </c>
    </row>
    <row r="1884" spans="13:16" x14ac:dyDescent="0.25">
      <c r="M1884" s="34">
        <v>5210</v>
      </c>
      <c r="N1884" s="2" t="s">
        <v>433</v>
      </c>
      <c r="O1884" s="2" t="s">
        <v>182</v>
      </c>
      <c r="P1884" s="2" t="str">
        <f t="shared" si="32"/>
        <v>5210-HONORARIOS-CUENTA</v>
      </c>
    </row>
    <row r="1885" spans="13:16" x14ac:dyDescent="0.25">
      <c r="M1885" s="34">
        <v>521005</v>
      </c>
      <c r="N1885" s="2" t="s">
        <v>1367</v>
      </c>
      <c r="O1885" s="2" t="s">
        <v>183</v>
      </c>
      <c r="P1885" s="2" t="str">
        <f t="shared" si="32"/>
        <v>521005-JUNTA DIRECTIVA-SUBCUENTA</v>
      </c>
    </row>
    <row r="1886" spans="13:16" x14ac:dyDescent="0.25">
      <c r="M1886" s="34">
        <v>521010</v>
      </c>
      <c r="N1886" s="2" t="s">
        <v>1425</v>
      </c>
      <c r="O1886" s="2" t="s">
        <v>183</v>
      </c>
      <c r="P1886" s="2" t="str">
        <f t="shared" si="32"/>
        <v>521010-REVISORIA FISCAL-SUBCUENTA</v>
      </c>
    </row>
    <row r="1887" spans="13:16" x14ac:dyDescent="0.25">
      <c r="M1887" s="34">
        <v>521015</v>
      </c>
      <c r="N1887" s="2" t="s">
        <v>1369</v>
      </c>
      <c r="O1887" s="2" t="s">
        <v>183</v>
      </c>
      <c r="P1887" s="2" t="str">
        <f t="shared" si="32"/>
        <v>521015-AUDITORIA EXTERNA-SUBCUENTA</v>
      </c>
    </row>
    <row r="1888" spans="13:16" x14ac:dyDescent="0.25">
      <c r="M1888" s="34">
        <v>521020</v>
      </c>
      <c r="N1888" s="2" t="s">
        <v>1370</v>
      </c>
      <c r="O1888" s="2" t="s">
        <v>183</v>
      </c>
      <c r="P1888" s="2" t="str">
        <f t="shared" si="32"/>
        <v>521020-AVALUOS-SUBCUENTA</v>
      </c>
    </row>
    <row r="1889" spans="13:16" x14ac:dyDescent="0.25">
      <c r="M1889" s="34">
        <v>521025</v>
      </c>
      <c r="N1889" s="2" t="s">
        <v>1371</v>
      </c>
      <c r="O1889" s="2" t="s">
        <v>183</v>
      </c>
      <c r="P1889" s="2" t="str">
        <f t="shared" si="32"/>
        <v>521025-ASESORIA JURIDICA-SUBCUENTA</v>
      </c>
    </row>
    <row r="1890" spans="13:16" x14ac:dyDescent="0.25">
      <c r="M1890" s="34">
        <v>521030</v>
      </c>
      <c r="N1890" s="2" t="s">
        <v>1372</v>
      </c>
      <c r="O1890" s="2" t="s">
        <v>183</v>
      </c>
      <c r="P1890" s="2" t="str">
        <f t="shared" si="32"/>
        <v>521030-ASESORIA FINANCIERA-SUBCUENTA</v>
      </c>
    </row>
    <row r="1891" spans="13:16" x14ac:dyDescent="0.25">
      <c r="M1891" s="34">
        <v>521035</v>
      </c>
      <c r="N1891" s="2" t="s">
        <v>1373</v>
      </c>
      <c r="O1891" s="2" t="s">
        <v>183</v>
      </c>
      <c r="P1891" s="2" t="str">
        <f t="shared" si="32"/>
        <v>521035-ASESORIA TECNICA-SUBCUENTA</v>
      </c>
    </row>
    <row r="1892" spans="13:16" x14ac:dyDescent="0.25">
      <c r="M1892" s="34">
        <v>521095</v>
      </c>
      <c r="N1892" s="2" t="s">
        <v>323</v>
      </c>
      <c r="O1892" s="2" t="s">
        <v>183</v>
      </c>
      <c r="P1892" s="2" t="str">
        <f t="shared" si="32"/>
        <v>521095-OTROS-SUBCUENTA</v>
      </c>
    </row>
    <row r="1893" spans="13:16" x14ac:dyDescent="0.25">
      <c r="M1893" s="34">
        <v>521099</v>
      </c>
      <c r="N1893" s="2" t="s">
        <v>367</v>
      </c>
      <c r="O1893" s="2" t="s">
        <v>183</v>
      </c>
      <c r="P1893" s="2" t="str">
        <f t="shared" si="32"/>
        <v>521099-AJUSTES POR INFLACION-SUBCUENTA</v>
      </c>
    </row>
    <row r="1894" spans="13:16" x14ac:dyDescent="0.25">
      <c r="M1894" s="34">
        <v>5215</v>
      </c>
      <c r="N1894" s="2" t="s">
        <v>1374</v>
      </c>
      <c r="O1894" s="2" t="s">
        <v>182</v>
      </c>
      <c r="P1894" s="2" t="str">
        <f t="shared" si="32"/>
        <v>5215-IMPUESTOS-CUENTA</v>
      </c>
    </row>
    <row r="1895" spans="13:16" x14ac:dyDescent="0.25">
      <c r="M1895" s="34">
        <v>521505</v>
      </c>
      <c r="N1895" s="2" t="s">
        <v>1375</v>
      </c>
      <c r="O1895" s="2" t="s">
        <v>183</v>
      </c>
      <c r="P1895" s="2" t="str">
        <f t="shared" si="32"/>
        <v>521505-INDUSTRIA Y COMERCIO-SUBCUENTA</v>
      </c>
    </row>
    <row r="1896" spans="13:16" x14ac:dyDescent="0.25">
      <c r="M1896" s="34">
        <v>521510</v>
      </c>
      <c r="N1896" s="2" t="s">
        <v>1376</v>
      </c>
      <c r="O1896" s="2" t="s">
        <v>183</v>
      </c>
      <c r="P1896" s="2" t="str">
        <f t="shared" si="32"/>
        <v>521510-DE TIMBRES-SUBCUENTA</v>
      </c>
    </row>
    <row r="1897" spans="13:16" x14ac:dyDescent="0.25">
      <c r="M1897" s="34">
        <v>521515</v>
      </c>
      <c r="N1897" s="2" t="s">
        <v>782</v>
      </c>
      <c r="O1897" s="2" t="s">
        <v>183</v>
      </c>
      <c r="P1897" s="2" t="str">
        <f t="shared" si="32"/>
        <v>521515-A LA PROPIEDAD RAIZ-SUBCUENTA</v>
      </c>
    </row>
    <row r="1898" spans="13:16" x14ac:dyDescent="0.25">
      <c r="M1898" s="34">
        <v>521520</v>
      </c>
      <c r="N1898" s="2" t="s">
        <v>783</v>
      </c>
      <c r="O1898" s="2" t="s">
        <v>183</v>
      </c>
      <c r="P1898" s="2" t="str">
        <f t="shared" si="32"/>
        <v>521520-DERECHOS SOBRE INSTRUMENTOS PUBLICOS-SUBCUENTA</v>
      </c>
    </row>
    <row r="1899" spans="13:16" x14ac:dyDescent="0.25">
      <c r="M1899" s="34">
        <v>521525</v>
      </c>
      <c r="N1899" s="2" t="s">
        <v>784</v>
      </c>
      <c r="O1899" s="2" t="s">
        <v>183</v>
      </c>
      <c r="P1899" s="2" t="str">
        <f t="shared" si="32"/>
        <v>521525-DE VALORIZACION-SUBCUENTA</v>
      </c>
    </row>
    <row r="1900" spans="13:16" x14ac:dyDescent="0.25">
      <c r="M1900" s="34">
        <v>521530</v>
      </c>
      <c r="N1900" s="2" t="s">
        <v>785</v>
      </c>
      <c r="O1900" s="2" t="s">
        <v>183</v>
      </c>
      <c r="P1900" s="2" t="str">
        <f t="shared" si="32"/>
        <v>521530-DE TURISMO-SUBCUENTA</v>
      </c>
    </row>
    <row r="1901" spans="13:16" x14ac:dyDescent="0.25">
      <c r="M1901" s="34">
        <v>521535</v>
      </c>
      <c r="N1901" s="2" t="s">
        <v>786</v>
      </c>
      <c r="O1901" s="2" t="s">
        <v>183</v>
      </c>
      <c r="P1901" s="2" t="str">
        <f t="shared" si="32"/>
        <v>521535-TASA POR UTILIZACION DE PUERTOS-SUBCUENTA</v>
      </c>
    </row>
    <row r="1902" spans="13:16" x14ac:dyDescent="0.25">
      <c r="M1902" s="34">
        <v>521540</v>
      </c>
      <c r="N1902" s="2" t="s">
        <v>787</v>
      </c>
      <c r="O1902" s="2" t="s">
        <v>183</v>
      </c>
      <c r="P1902" s="2" t="str">
        <f t="shared" si="32"/>
        <v>521540-DE VEHICULOS-SUBCUENTA</v>
      </c>
    </row>
    <row r="1903" spans="13:16" x14ac:dyDescent="0.25">
      <c r="M1903" s="34">
        <v>521545</v>
      </c>
      <c r="N1903" s="2" t="s">
        <v>788</v>
      </c>
      <c r="O1903" s="2" t="s">
        <v>183</v>
      </c>
      <c r="P1903" s="2" t="str">
        <f t="shared" si="32"/>
        <v>521545-DE ESPECTACULOS PUBLICOS-SUBCUENTA</v>
      </c>
    </row>
    <row r="1904" spans="13:16" x14ac:dyDescent="0.25">
      <c r="M1904" s="34">
        <v>521550</v>
      </c>
      <c r="N1904" s="2" t="s">
        <v>795</v>
      </c>
      <c r="O1904" s="2" t="s">
        <v>183</v>
      </c>
      <c r="P1904" s="2" t="str">
        <f t="shared" si="32"/>
        <v>521550-CUOTAS DE FOMENTO-SUBCUENTA</v>
      </c>
    </row>
    <row r="1905" spans="13:16" x14ac:dyDescent="0.25">
      <c r="M1905" s="34">
        <v>521555</v>
      </c>
      <c r="N1905" s="2" t="s">
        <v>1426</v>
      </c>
      <c r="O1905" s="2" t="s">
        <v>183</v>
      </c>
      <c r="P1905" s="2" t="str">
        <f t="shared" si="32"/>
        <v>521555-LICORES-SUBCUENTA</v>
      </c>
    </row>
    <row r="1906" spans="13:16" x14ac:dyDescent="0.25">
      <c r="M1906" s="34">
        <v>521560</v>
      </c>
      <c r="N1906" s="2" t="s">
        <v>1427</v>
      </c>
      <c r="O1906" s="2" t="s">
        <v>183</v>
      </c>
      <c r="P1906" s="2" t="str">
        <f t="shared" si="32"/>
        <v>521560-CERVEZAS-SUBCUENTA</v>
      </c>
    </row>
    <row r="1907" spans="13:16" x14ac:dyDescent="0.25">
      <c r="M1907" s="34">
        <v>521565</v>
      </c>
      <c r="N1907" s="2" t="s">
        <v>1428</v>
      </c>
      <c r="O1907" s="2" t="s">
        <v>183</v>
      </c>
      <c r="P1907" s="2" t="str">
        <f t="shared" si="32"/>
        <v>521565-CIGARRILLOS-SUBCUENTA</v>
      </c>
    </row>
    <row r="1908" spans="13:16" x14ac:dyDescent="0.25">
      <c r="M1908" s="34">
        <v>521570</v>
      </c>
      <c r="N1908" s="2" t="s">
        <v>1377</v>
      </c>
      <c r="O1908" s="2" t="s">
        <v>183</v>
      </c>
      <c r="P1908" s="2" t="str">
        <f t="shared" si="32"/>
        <v>521570-IVA DESCONTABLE-SUBCUENTA</v>
      </c>
    </row>
    <row r="1909" spans="13:16" x14ac:dyDescent="0.25">
      <c r="M1909" s="34">
        <v>521595</v>
      </c>
      <c r="N1909" s="2" t="s">
        <v>323</v>
      </c>
      <c r="O1909" s="2" t="s">
        <v>183</v>
      </c>
      <c r="P1909" s="2" t="str">
        <f t="shared" si="32"/>
        <v>521595-OTROS-SUBCUENTA</v>
      </c>
    </row>
    <row r="1910" spans="13:16" x14ac:dyDescent="0.25">
      <c r="M1910" s="34">
        <v>521599</v>
      </c>
      <c r="N1910" s="2" t="s">
        <v>367</v>
      </c>
      <c r="O1910" s="2" t="s">
        <v>183</v>
      </c>
      <c r="P1910" s="2" t="str">
        <f t="shared" si="32"/>
        <v>521599-AJUSTES POR INFLACION-SUBCUENTA</v>
      </c>
    </row>
    <row r="1911" spans="13:16" x14ac:dyDescent="0.25">
      <c r="M1911" s="34">
        <v>5220</v>
      </c>
      <c r="N1911" s="2" t="s">
        <v>435</v>
      </c>
      <c r="O1911" s="2" t="s">
        <v>182</v>
      </c>
      <c r="P1911" s="2" t="str">
        <f t="shared" si="32"/>
        <v>5220-ARRENDAMIENTOS-CUENTA</v>
      </c>
    </row>
    <row r="1912" spans="13:16" x14ac:dyDescent="0.25">
      <c r="M1912" s="34">
        <v>522005</v>
      </c>
      <c r="N1912" s="2" t="s">
        <v>490</v>
      </c>
      <c r="O1912" s="2" t="s">
        <v>183</v>
      </c>
      <c r="P1912" s="2" t="str">
        <f t="shared" si="32"/>
        <v>522005-TERRENOS-SUBCUENTA</v>
      </c>
    </row>
    <row r="1913" spans="13:16" x14ac:dyDescent="0.25">
      <c r="M1913" s="34">
        <v>522010</v>
      </c>
      <c r="N1913" s="2" t="s">
        <v>520</v>
      </c>
      <c r="O1913" s="2" t="s">
        <v>183</v>
      </c>
      <c r="P1913" s="2" t="str">
        <f t="shared" si="32"/>
        <v>522010-CONSTRUCCIONES Y EDIFICACIONES-SUBCUENTA</v>
      </c>
    </row>
    <row r="1914" spans="13:16" x14ac:dyDescent="0.25">
      <c r="M1914" s="34">
        <v>522015</v>
      </c>
      <c r="N1914" s="2" t="s">
        <v>527</v>
      </c>
      <c r="O1914" s="2" t="s">
        <v>183</v>
      </c>
      <c r="P1914" s="2" t="str">
        <f t="shared" si="32"/>
        <v>522015-MAQUINARIA Y EQUIPO-SUBCUENTA</v>
      </c>
    </row>
    <row r="1915" spans="13:16" x14ac:dyDescent="0.25">
      <c r="M1915" s="34">
        <v>522020</v>
      </c>
      <c r="N1915" s="2" t="s">
        <v>528</v>
      </c>
      <c r="O1915" s="2" t="s">
        <v>183</v>
      </c>
      <c r="P1915" s="2" t="str">
        <f t="shared" si="32"/>
        <v>522020-EQUIPO DE OFICINA-SUBCUENTA</v>
      </c>
    </row>
    <row r="1916" spans="13:16" x14ac:dyDescent="0.25">
      <c r="M1916" s="34">
        <v>522025</v>
      </c>
      <c r="N1916" s="2" t="s">
        <v>529</v>
      </c>
      <c r="O1916" s="2" t="s">
        <v>183</v>
      </c>
      <c r="P1916" s="2" t="str">
        <f t="shared" si="32"/>
        <v>522025-EQUIPO DE COMPUTACION Y COMUNICACION-SUBCUENTA</v>
      </c>
    </row>
    <row r="1917" spans="13:16" x14ac:dyDescent="0.25">
      <c r="M1917" s="34">
        <v>522030</v>
      </c>
      <c r="N1917" s="2" t="s">
        <v>561</v>
      </c>
      <c r="O1917" s="2" t="s">
        <v>183</v>
      </c>
      <c r="P1917" s="2" t="str">
        <f t="shared" si="32"/>
        <v>522030-EQUIPO MEDICO - CIENTIFICO-SUBCUENTA</v>
      </c>
    </row>
    <row r="1918" spans="13:16" x14ac:dyDescent="0.25">
      <c r="M1918" s="34">
        <v>522035</v>
      </c>
      <c r="N1918" s="2" t="s">
        <v>531</v>
      </c>
      <c r="O1918" s="2" t="s">
        <v>183</v>
      </c>
      <c r="P1918" s="2" t="str">
        <f t="shared" si="32"/>
        <v>522035-EQUIPO DE HOTELES Y RESTAURANTES-SUBCUENTA</v>
      </c>
    </row>
    <row r="1919" spans="13:16" x14ac:dyDescent="0.25">
      <c r="M1919" s="34">
        <v>522040</v>
      </c>
      <c r="N1919" s="2" t="s">
        <v>532</v>
      </c>
      <c r="O1919" s="2" t="s">
        <v>183</v>
      </c>
      <c r="P1919" s="2" t="str">
        <f t="shared" si="32"/>
        <v>522040-FLOTA Y EQUIPO DE TRANSPORTE-SUBCUENTA</v>
      </c>
    </row>
    <row r="1920" spans="13:16" x14ac:dyDescent="0.25">
      <c r="M1920" s="34">
        <v>522045</v>
      </c>
      <c r="N1920" s="2" t="s">
        <v>533</v>
      </c>
      <c r="O1920" s="2" t="s">
        <v>183</v>
      </c>
      <c r="P1920" s="2" t="str">
        <f t="shared" si="32"/>
        <v>522045-FLOTA Y EQUIPO FLUVIAL Y/O MARITIMO-SUBCUENTA</v>
      </c>
    </row>
    <row r="1921" spans="13:16" x14ac:dyDescent="0.25">
      <c r="M1921" s="34">
        <v>522050</v>
      </c>
      <c r="N1921" s="2" t="s">
        <v>534</v>
      </c>
      <c r="O1921" s="2" t="s">
        <v>183</v>
      </c>
      <c r="P1921" s="2" t="str">
        <f t="shared" si="32"/>
        <v>522050-FLOTA Y EQUIPO AEREO-SUBCUENTA</v>
      </c>
    </row>
    <row r="1922" spans="13:16" x14ac:dyDescent="0.25">
      <c r="M1922" s="34">
        <v>522055</v>
      </c>
      <c r="N1922" s="2" t="s">
        <v>535</v>
      </c>
      <c r="O1922" s="2" t="s">
        <v>183</v>
      </c>
      <c r="P1922" s="2" t="str">
        <f t="shared" si="32"/>
        <v>522055-FLOTA Y EQUIPO FERREO-SUBCUENTA</v>
      </c>
    </row>
    <row r="1923" spans="13:16" x14ac:dyDescent="0.25">
      <c r="M1923" s="34">
        <v>522060</v>
      </c>
      <c r="N1923" s="2" t="s">
        <v>521</v>
      </c>
      <c r="O1923" s="2" t="s">
        <v>183</v>
      </c>
      <c r="P1923" s="2" t="str">
        <f t="shared" si="32"/>
        <v>522060-ACUEDUCTOS PLANTAS Y REDES-SUBCUENTA</v>
      </c>
    </row>
    <row r="1924" spans="13:16" x14ac:dyDescent="0.25">
      <c r="M1924" s="34">
        <v>522065</v>
      </c>
      <c r="N1924" s="2" t="s">
        <v>623</v>
      </c>
      <c r="O1924" s="2" t="s">
        <v>183</v>
      </c>
      <c r="P1924" s="2" t="str">
        <f t="shared" ref="P1924:P1987" si="33">IF(AND(M1924&lt;&gt;"",N1924&lt;&gt;"",O1924&lt;&gt;""),M1924&amp;"-"&amp;N1924&amp;"-"&amp;O1924,IF(AND(M1924="",N1924&lt;&gt;"",O1924&lt;&gt;""),N1924&amp;"-"&amp;O1924,IF(AND(M1924&lt;&gt;"",N1924="",O1924&lt;&gt;""),M1924&amp;"-"&amp;O1924,IF(AND(M1924&lt;&gt;"",N1924&lt;&gt;"",O1924=""),M1924&amp;"-"&amp;N1924,IF(AND(M1924&lt;&gt;"",N1924="",O1924=""),M1924,"")))))</f>
        <v>522065-AERODROMOS-SUBCUENTA</v>
      </c>
    </row>
    <row r="1925" spans="13:16" x14ac:dyDescent="0.25">
      <c r="M1925" s="34">
        <v>522070</v>
      </c>
      <c r="N1925" s="2" t="s">
        <v>487</v>
      </c>
      <c r="O1925" s="2" t="s">
        <v>183</v>
      </c>
      <c r="P1925" s="2" t="str">
        <f t="shared" si="33"/>
        <v>522070-SEMOVIENTES-SUBCUENTA</v>
      </c>
    </row>
    <row r="1926" spans="13:16" x14ac:dyDescent="0.25">
      <c r="M1926" s="34">
        <v>522095</v>
      </c>
      <c r="N1926" s="2" t="s">
        <v>323</v>
      </c>
      <c r="O1926" s="2" t="s">
        <v>183</v>
      </c>
      <c r="P1926" s="2" t="str">
        <f t="shared" si="33"/>
        <v>522095-OTROS-SUBCUENTA</v>
      </c>
    </row>
    <row r="1927" spans="13:16" x14ac:dyDescent="0.25">
      <c r="M1927" s="34">
        <v>522099</v>
      </c>
      <c r="N1927" s="2" t="s">
        <v>367</v>
      </c>
      <c r="O1927" s="2" t="s">
        <v>183</v>
      </c>
      <c r="P1927" s="2" t="str">
        <f t="shared" si="33"/>
        <v>522099-AJUSTES POR INFLACION-SUBCUENTA</v>
      </c>
    </row>
    <row r="1928" spans="13:16" x14ac:dyDescent="0.25">
      <c r="M1928" s="34">
        <v>5225</v>
      </c>
      <c r="N1928" s="2" t="s">
        <v>670</v>
      </c>
      <c r="O1928" s="2" t="s">
        <v>182</v>
      </c>
      <c r="P1928" s="2" t="str">
        <f t="shared" si="33"/>
        <v>5225-CONTRIBUCIONES Y AFILIACIONES-CUENTA</v>
      </c>
    </row>
    <row r="1929" spans="13:16" x14ac:dyDescent="0.25">
      <c r="M1929" s="34">
        <v>522505</v>
      </c>
      <c r="N1929" s="2" t="s">
        <v>445</v>
      </c>
      <c r="O1929" s="2" t="s">
        <v>183</v>
      </c>
      <c r="P1929" s="2" t="str">
        <f t="shared" si="33"/>
        <v>522505-CONTRIBUCIONES-SUBCUENTA</v>
      </c>
    </row>
    <row r="1930" spans="13:16" x14ac:dyDescent="0.25">
      <c r="M1930" s="34">
        <v>522510</v>
      </c>
      <c r="N1930" s="2" t="s">
        <v>1378</v>
      </c>
      <c r="O1930" s="2" t="s">
        <v>183</v>
      </c>
      <c r="P1930" s="2" t="str">
        <f t="shared" si="33"/>
        <v>522510-AFILIACIONES Y SOSTENIMIENTO-SUBCUENTA</v>
      </c>
    </row>
    <row r="1931" spans="13:16" x14ac:dyDescent="0.25">
      <c r="M1931" s="34">
        <v>522599</v>
      </c>
      <c r="N1931" s="2" t="s">
        <v>367</v>
      </c>
      <c r="O1931" s="2" t="s">
        <v>183</v>
      </c>
      <c r="P1931" s="2" t="str">
        <f t="shared" si="33"/>
        <v>522599-AJUSTES POR INFLACION-SUBCUENTA</v>
      </c>
    </row>
    <row r="1932" spans="13:16" x14ac:dyDescent="0.25">
      <c r="M1932" s="34">
        <v>5230</v>
      </c>
      <c r="N1932" s="2" t="s">
        <v>737</v>
      </c>
      <c r="O1932" s="2" t="s">
        <v>182</v>
      </c>
      <c r="P1932" s="2" t="str">
        <f t="shared" si="33"/>
        <v>5230-SEGUROS-CUENTA</v>
      </c>
    </row>
    <row r="1933" spans="13:16" x14ac:dyDescent="0.25">
      <c r="M1933" s="34">
        <v>523005</v>
      </c>
      <c r="N1933" s="2" t="s">
        <v>1379</v>
      </c>
      <c r="O1933" s="2" t="s">
        <v>183</v>
      </c>
      <c r="P1933" s="2" t="str">
        <f t="shared" si="33"/>
        <v>523005-MANEJO-SUBCUENTA</v>
      </c>
    </row>
    <row r="1934" spans="13:16" x14ac:dyDescent="0.25">
      <c r="M1934" s="34">
        <v>523010</v>
      </c>
      <c r="N1934" s="2" t="s">
        <v>1380</v>
      </c>
      <c r="O1934" s="2" t="s">
        <v>183</v>
      </c>
      <c r="P1934" s="2" t="str">
        <f t="shared" si="33"/>
        <v>523010-CUMPLIMIENTO-SUBCUENTA</v>
      </c>
    </row>
    <row r="1935" spans="13:16" x14ac:dyDescent="0.25">
      <c r="M1935" s="34">
        <v>523015</v>
      </c>
      <c r="N1935" s="2" t="s">
        <v>1381</v>
      </c>
      <c r="O1935" s="2" t="s">
        <v>183</v>
      </c>
      <c r="P1935" s="2" t="str">
        <f t="shared" si="33"/>
        <v>523015-CORRIENTE DEBIL-SUBCUENTA</v>
      </c>
    </row>
    <row r="1936" spans="13:16" x14ac:dyDescent="0.25">
      <c r="M1936" s="34">
        <v>523020</v>
      </c>
      <c r="N1936" s="2" t="s">
        <v>1382</v>
      </c>
      <c r="O1936" s="2" t="s">
        <v>183</v>
      </c>
      <c r="P1936" s="2" t="str">
        <f t="shared" si="33"/>
        <v>523020-VIDA COLECTIVA-SUBCUENTA</v>
      </c>
    </row>
    <row r="1937" spans="13:16" x14ac:dyDescent="0.25">
      <c r="M1937" s="34">
        <v>523025</v>
      </c>
      <c r="N1937" s="2" t="s">
        <v>1383</v>
      </c>
      <c r="O1937" s="2" t="s">
        <v>183</v>
      </c>
      <c r="P1937" s="2" t="str">
        <f t="shared" si="33"/>
        <v>523025-INCENDIO-SUBCUENTA</v>
      </c>
    </row>
    <row r="1938" spans="13:16" x14ac:dyDescent="0.25">
      <c r="M1938" s="34">
        <v>523030</v>
      </c>
      <c r="N1938" s="2" t="s">
        <v>1384</v>
      </c>
      <c r="O1938" s="2" t="s">
        <v>183</v>
      </c>
      <c r="P1938" s="2" t="str">
        <f t="shared" si="33"/>
        <v>523030-TERREMOTO-SUBCUENTA</v>
      </c>
    </row>
    <row r="1939" spans="13:16" x14ac:dyDescent="0.25">
      <c r="M1939" s="34">
        <v>523035</v>
      </c>
      <c r="N1939" s="2" t="s">
        <v>1385</v>
      </c>
      <c r="O1939" s="2" t="s">
        <v>183</v>
      </c>
      <c r="P1939" s="2" t="str">
        <f t="shared" si="33"/>
        <v>523035-SUSTRACCION Y HURTO-SUBCUENTA</v>
      </c>
    </row>
    <row r="1940" spans="13:16" x14ac:dyDescent="0.25">
      <c r="M1940" s="34">
        <v>523040</v>
      </c>
      <c r="N1940" s="2" t="s">
        <v>532</v>
      </c>
      <c r="O1940" s="2" t="s">
        <v>183</v>
      </c>
      <c r="P1940" s="2" t="str">
        <f t="shared" si="33"/>
        <v>523040-FLOTA Y EQUIPO DE TRANSPORTE-SUBCUENTA</v>
      </c>
    </row>
    <row r="1941" spans="13:16" x14ac:dyDescent="0.25">
      <c r="M1941" s="34">
        <v>523045</v>
      </c>
      <c r="N1941" s="2" t="s">
        <v>533</v>
      </c>
      <c r="O1941" s="2" t="s">
        <v>183</v>
      </c>
      <c r="P1941" s="2" t="str">
        <f t="shared" si="33"/>
        <v>523045-FLOTA Y EQUIPO FLUVIAL Y/O MARITIMO-SUBCUENTA</v>
      </c>
    </row>
    <row r="1942" spans="13:16" x14ac:dyDescent="0.25">
      <c r="M1942" s="34">
        <v>523050</v>
      </c>
      <c r="N1942" s="2" t="s">
        <v>534</v>
      </c>
      <c r="O1942" s="2" t="s">
        <v>183</v>
      </c>
      <c r="P1942" s="2" t="str">
        <f t="shared" si="33"/>
        <v>523050-FLOTA Y EQUIPO AEREO-SUBCUENTA</v>
      </c>
    </row>
    <row r="1943" spans="13:16" x14ac:dyDescent="0.25">
      <c r="M1943" s="34">
        <v>523055</v>
      </c>
      <c r="N1943" s="2" t="s">
        <v>535</v>
      </c>
      <c r="O1943" s="2" t="s">
        <v>183</v>
      </c>
      <c r="P1943" s="2" t="str">
        <f t="shared" si="33"/>
        <v>523055-FLOTA Y EQUIPO FERREO-SUBCUENTA</v>
      </c>
    </row>
    <row r="1944" spans="13:16" x14ac:dyDescent="0.25">
      <c r="M1944" s="34">
        <v>523060</v>
      </c>
      <c r="N1944" s="2" t="s">
        <v>1386</v>
      </c>
      <c r="O1944" s="2" t="s">
        <v>183</v>
      </c>
      <c r="P1944" s="2" t="str">
        <f t="shared" si="33"/>
        <v>523060-RESPONSABILIDAD CIVIL Y EXTRACONTRACTUAL-SUBCUENTA</v>
      </c>
    </row>
    <row r="1945" spans="13:16" x14ac:dyDescent="0.25">
      <c r="M1945" s="34">
        <v>523065</v>
      </c>
      <c r="N1945" s="2" t="s">
        <v>1387</v>
      </c>
      <c r="O1945" s="2" t="s">
        <v>183</v>
      </c>
      <c r="P1945" s="2" t="str">
        <f t="shared" si="33"/>
        <v>523065-VUELO-SUBCUENTA</v>
      </c>
    </row>
    <row r="1946" spans="13:16" x14ac:dyDescent="0.25">
      <c r="M1946" s="34">
        <v>523070</v>
      </c>
      <c r="N1946" s="2" t="s">
        <v>1388</v>
      </c>
      <c r="O1946" s="2" t="s">
        <v>183</v>
      </c>
      <c r="P1946" s="2" t="str">
        <f t="shared" si="33"/>
        <v>523070-ROTURA DE MAQUINARIA-SUBCUENTA</v>
      </c>
    </row>
    <row r="1947" spans="13:16" x14ac:dyDescent="0.25">
      <c r="M1947" s="34">
        <v>523075</v>
      </c>
      <c r="N1947" s="2" t="s">
        <v>1389</v>
      </c>
      <c r="O1947" s="2" t="s">
        <v>183</v>
      </c>
      <c r="P1947" s="2" t="str">
        <f t="shared" si="33"/>
        <v>523075-OBLIGATORIO ACCIDENTE DE TRANSITO-SUBCUENTA</v>
      </c>
    </row>
    <row r="1948" spans="13:16" x14ac:dyDescent="0.25">
      <c r="M1948" s="34">
        <v>523080</v>
      </c>
      <c r="N1948" s="2" t="s">
        <v>1390</v>
      </c>
      <c r="O1948" s="2" t="s">
        <v>183</v>
      </c>
      <c r="P1948" s="2" t="str">
        <f t="shared" si="33"/>
        <v>523080-LUCRO CESANTE-SUBCUENTA</v>
      </c>
    </row>
    <row r="1949" spans="13:16" x14ac:dyDescent="0.25">
      <c r="M1949" s="34">
        <v>523095</v>
      </c>
      <c r="N1949" s="2" t="s">
        <v>323</v>
      </c>
      <c r="O1949" s="2" t="s">
        <v>183</v>
      </c>
      <c r="P1949" s="2" t="str">
        <f t="shared" si="33"/>
        <v>523095-OTROS-SUBCUENTA</v>
      </c>
    </row>
    <row r="1950" spans="13:16" x14ac:dyDescent="0.25">
      <c r="M1950" s="34">
        <v>523099</v>
      </c>
      <c r="N1950" s="2" t="s">
        <v>367</v>
      </c>
      <c r="O1950" s="2" t="s">
        <v>183</v>
      </c>
      <c r="P1950" s="2" t="str">
        <f t="shared" si="33"/>
        <v>523099-AJUSTES POR INFLACION-SUBCUENTA</v>
      </c>
    </row>
    <row r="1951" spans="13:16" x14ac:dyDescent="0.25">
      <c r="M1951" s="34">
        <v>5235</v>
      </c>
      <c r="N1951" s="2" t="s">
        <v>434</v>
      </c>
      <c r="O1951" s="2" t="s">
        <v>182</v>
      </c>
      <c r="P1951" s="2" t="str">
        <f t="shared" si="33"/>
        <v>5235-SERVICIOS-CUENTA</v>
      </c>
    </row>
    <row r="1952" spans="13:16" x14ac:dyDescent="0.25">
      <c r="M1952" s="34">
        <v>523505</v>
      </c>
      <c r="N1952" s="2" t="s">
        <v>1391</v>
      </c>
      <c r="O1952" s="2" t="s">
        <v>183</v>
      </c>
      <c r="P1952" s="2" t="str">
        <f t="shared" si="33"/>
        <v>523505-ASEO Y VIGILANCIA-SUBCUENTA</v>
      </c>
    </row>
    <row r="1953" spans="13:16" x14ac:dyDescent="0.25">
      <c r="M1953" s="34">
        <v>523510</v>
      </c>
      <c r="N1953" s="2" t="s">
        <v>1392</v>
      </c>
      <c r="O1953" s="2" t="s">
        <v>183</v>
      </c>
      <c r="P1953" s="2" t="str">
        <f t="shared" si="33"/>
        <v>523510-TEMPORALES-SUBCUENTA</v>
      </c>
    </row>
    <row r="1954" spans="13:16" x14ac:dyDescent="0.25">
      <c r="M1954" s="34">
        <v>523515</v>
      </c>
      <c r="N1954" s="2" t="s">
        <v>1258</v>
      </c>
      <c r="O1954" s="2" t="s">
        <v>183</v>
      </c>
      <c r="P1954" s="2" t="str">
        <f t="shared" si="33"/>
        <v>523515-ASISTENCIA TECNICA-SUBCUENTA</v>
      </c>
    </row>
    <row r="1955" spans="13:16" x14ac:dyDescent="0.25">
      <c r="M1955" s="34">
        <v>523520</v>
      </c>
      <c r="N1955" s="2" t="s">
        <v>1393</v>
      </c>
      <c r="O1955" s="2" t="s">
        <v>183</v>
      </c>
      <c r="P1955" s="2" t="str">
        <f t="shared" si="33"/>
        <v>523520-PROCESAMIENTO ELECTRONICO DE DATOS-SUBCUENTA</v>
      </c>
    </row>
    <row r="1956" spans="13:16" x14ac:dyDescent="0.25">
      <c r="M1956" s="34">
        <v>523525</v>
      </c>
      <c r="N1956" s="2" t="s">
        <v>831</v>
      </c>
      <c r="O1956" s="2" t="s">
        <v>183</v>
      </c>
      <c r="P1956" s="2" t="str">
        <f t="shared" si="33"/>
        <v>523525-ACUEDUCTO Y ALCANTARILLADO-SUBCUENTA</v>
      </c>
    </row>
    <row r="1957" spans="13:16" x14ac:dyDescent="0.25">
      <c r="M1957" s="34">
        <v>523530</v>
      </c>
      <c r="N1957" s="2" t="s">
        <v>832</v>
      </c>
      <c r="O1957" s="2" t="s">
        <v>183</v>
      </c>
      <c r="P1957" s="2" t="str">
        <f t="shared" si="33"/>
        <v>523530-ENERGIA ELECTRICA-SUBCUENTA</v>
      </c>
    </row>
    <row r="1958" spans="13:16" x14ac:dyDescent="0.25">
      <c r="M1958" s="34">
        <v>523535</v>
      </c>
      <c r="N1958" s="2" t="s">
        <v>1394</v>
      </c>
      <c r="O1958" s="2" t="s">
        <v>183</v>
      </c>
      <c r="P1958" s="2" t="str">
        <f t="shared" si="33"/>
        <v>523535-TELEFONO-SUBCUENTA</v>
      </c>
    </row>
    <row r="1959" spans="13:16" x14ac:dyDescent="0.25">
      <c r="M1959" s="34">
        <v>523540</v>
      </c>
      <c r="N1959" s="2" t="s">
        <v>1395</v>
      </c>
      <c r="O1959" s="2" t="s">
        <v>183</v>
      </c>
      <c r="P1959" s="2" t="str">
        <f t="shared" si="33"/>
        <v>523540-CORREO, PORTES Y TELEGRAMAS-SUBCUENTA</v>
      </c>
    </row>
    <row r="1960" spans="13:16" x14ac:dyDescent="0.25">
      <c r="M1960" s="34">
        <v>523545</v>
      </c>
      <c r="N1960" s="2" t="s">
        <v>1396</v>
      </c>
      <c r="O1960" s="2" t="s">
        <v>183</v>
      </c>
      <c r="P1960" s="2" t="str">
        <f t="shared" si="33"/>
        <v>523545-FAX Y TELEX-SUBCUENTA</v>
      </c>
    </row>
    <row r="1961" spans="13:16" x14ac:dyDescent="0.25">
      <c r="M1961" s="34">
        <v>523550</v>
      </c>
      <c r="N1961" s="2" t="s">
        <v>1397</v>
      </c>
      <c r="O1961" s="2" t="s">
        <v>183</v>
      </c>
      <c r="P1961" s="2" t="str">
        <f t="shared" si="33"/>
        <v>523550-TRANSPORTE, FLETES Y ACARREOS-SUBCUENTA</v>
      </c>
    </row>
    <row r="1962" spans="13:16" x14ac:dyDescent="0.25">
      <c r="M1962" s="34">
        <v>523555</v>
      </c>
      <c r="N1962" s="2" t="s">
        <v>1398</v>
      </c>
      <c r="O1962" s="2" t="s">
        <v>183</v>
      </c>
      <c r="P1962" s="2" t="str">
        <f t="shared" si="33"/>
        <v>523555-GAS-SUBCUENTA</v>
      </c>
    </row>
    <row r="1963" spans="13:16" x14ac:dyDescent="0.25">
      <c r="M1963" s="34">
        <v>523560</v>
      </c>
      <c r="N1963" s="2" t="s">
        <v>1429</v>
      </c>
      <c r="O1963" s="2" t="s">
        <v>183</v>
      </c>
      <c r="P1963" s="2" t="str">
        <f t="shared" si="33"/>
        <v>523560-PROPAGANDA Y PUBLICIDAD-SUBCUENTA</v>
      </c>
    </row>
    <row r="1964" spans="13:16" x14ac:dyDescent="0.25">
      <c r="M1964" s="34">
        <v>523595</v>
      </c>
      <c r="N1964" s="2" t="s">
        <v>323</v>
      </c>
      <c r="O1964" s="2" t="s">
        <v>183</v>
      </c>
      <c r="P1964" s="2" t="str">
        <f t="shared" si="33"/>
        <v>523595-OTROS-SUBCUENTA</v>
      </c>
    </row>
    <row r="1965" spans="13:16" x14ac:dyDescent="0.25">
      <c r="M1965" s="34">
        <v>523599</v>
      </c>
      <c r="N1965" s="2" t="s">
        <v>367</v>
      </c>
      <c r="O1965" s="2" t="s">
        <v>183</v>
      </c>
      <c r="P1965" s="2" t="str">
        <f t="shared" si="33"/>
        <v>523599-AJUSTES POR INFLACION-SUBCUENTA</v>
      </c>
    </row>
    <row r="1966" spans="13:16" x14ac:dyDescent="0.25">
      <c r="M1966" s="34">
        <v>5240</v>
      </c>
      <c r="N1966" s="2" t="s">
        <v>731</v>
      </c>
      <c r="O1966" s="2" t="s">
        <v>182</v>
      </c>
      <c r="P1966" s="2" t="str">
        <f t="shared" si="33"/>
        <v>5240-GASTOS LEGALES-CUENTA</v>
      </c>
    </row>
    <row r="1967" spans="13:16" x14ac:dyDescent="0.25">
      <c r="M1967" s="34">
        <v>524005</v>
      </c>
      <c r="N1967" s="2" t="s">
        <v>1399</v>
      </c>
      <c r="O1967" s="2" t="s">
        <v>183</v>
      </c>
      <c r="P1967" s="2" t="str">
        <f t="shared" si="33"/>
        <v>524005-NOTARIALES-SUBCUENTA</v>
      </c>
    </row>
    <row r="1968" spans="13:16" x14ac:dyDescent="0.25">
      <c r="M1968" s="34">
        <v>524010</v>
      </c>
      <c r="N1968" s="2" t="s">
        <v>1400</v>
      </c>
      <c r="O1968" s="2" t="s">
        <v>183</v>
      </c>
      <c r="P1968" s="2" t="str">
        <f t="shared" si="33"/>
        <v>524010-REGISTRO MERCANTIL-SUBCUENTA</v>
      </c>
    </row>
    <row r="1969" spans="13:16" x14ac:dyDescent="0.25">
      <c r="M1969" s="34">
        <v>524015</v>
      </c>
      <c r="N1969" s="2" t="s">
        <v>1401</v>
      </c>
      <c r="O1969" s="2" t="s">
        <v>183</v>
      </c>
      <c r="P1969" s="2" t="str">
        <f t="shared" si="33"/>
        <v>524015-TRAMITES Y LICENCIAS-SUBCUENTA</v>
      </c>
    </row>
    <row r="1970" spans="13:16" x14ac:dyDescent="0.25">
      <c r="M1970" s="34">
        <v>524020</v>
      </c>
      <c r="N1970" s="2" t="s">
        <v>1402</v>
      </c>
      <c r="O1970" s="2" t="s">
        <v>183</v>
      </c>
      <c r="P1970" s="2" t="str">
        <f t="shared" si="33"/>
        <v>524020-ADUANEROS-SUBCUENTA</v>
      </c>
    </row>
    <row r="1971" spans="13:16" x14ac:dyDescent="0.25">
      <c r="M1971" s="34">
        <v>524025</v>
      </c>
      <c r="N1971" s="2" t="s">
        <v>1403</v>
      </c>
      <c r="O1971" s="2" t="s">
        <v>183</v>
      </c>
      <c r="P1971" s="2" t="str">
        <f t="shared" si="33"/>
        <v>524025-CONSULARES-SUBCUENTA</v>
      </c>
    </row>
    <row r="1972" spans="13:16" x14ac:dyDescent="0.25">
      <c r="M1972" s="34">
        <v>524095</v>
      </c>
      <c r="N1972" s="2" t="s">
        <v>323</v>
      </c>
      <c r="O1972" s="2" t="s">
        <v>183</v>
      </c>
      <c r="P1972" s="2" t="str">
        <f t="shared" si="33"/>
        <v>524095-OTROS-SUBCUENTA</v>
      </c>
    </row>
    <row r="1973" spans="13:16" x14ac:dyDescent="0.25">
      <c r="M1973" s="34">
        <v>524099</v>
      </c>
      <c r="N1973" s="2" t="s">
        <v>367</v>
      </c>
      <c r="O1973" s="2" t="s">
        <v>183</v>
      </c>
      <c r="P1973" s="2" t="str">
        <f t="shared" si="33"/>
        <v>524099-AJUSTES POR INFLACION-SUBCUENTA</v>
      </c>
    </row>
    <row r="1974" spans="13:16" x14ac:dyDescent="0.25">
      <c r="M1974" s="34">
        <v>5245</v>
      </c>
      <c r="N1974" s="2" t="s">
        <v>1404</v>
      </c>
      <c r="O1974" s="2" t="s">
        <v>182</v>
      </c>
      <c r="P1974" s="2" t="str">
        <f t="shared" si="33"/>
        <v>5245-MANTENIMIENTO Y REPARACIONES-CUENTA</v>
      </c>
    </row>
    <row r="1975" spans="13:16" x14ac:dyDescent="0.25">
      <c r="M1975" s="34">
        <v>524505</v>
      </c>
      <c r="N1975" s="2" t="s">
        <v>490</v>
      </c>
      <c r="O1975" s="2" t="s">
        <v>183</v>
      </c>
      <c r="P1975" s="2" t="str">
        <f t="shared" si="33"/>
        <v>524505-TERRENOS-SUBCUENTA</v>
      </c>
    </row>
    <row r="1976" spans="13:16" x14ac:dyDescent="0.25">
      <c r="M1976" s="34">
        <v>524510</v>
      </c>
      <c r="N1976" s="2" t="s">
        <v>520</v>
      </c>
      <c r="O1976" s="2" t="s">
        <v>183</v>
      </c>
      <c r="P1976" s="2" t="str">
        <f t="shared" si="33"/>
        <v>524510-CONSTRUCCIONES Y EDIFICACIONES-SUBCUENTA</v>
      </c>
    </row>
    <row r="1977" spans="13:16" x14ac:dyDescent="0.25">
      <c r="M1977" s="34">
        <v>524515</v>
      </c>
      <c r="N1977" s="2" t="s">
        <v>527</v>
      </c>
      <c r="O1977" s="2" t="s">
        <v>183</v>
      </c>
      <c r="P1977" s="2" t="str">
        <f t="shared" si="33"/>
        <v>524515-MAQUINARIA Y EQUIPO-SUBCUENTA</v>
      </c>
    </row>
    <row r="1978" spans="13:16" x14ac:dyDescent="0.25">
      <c r="M1978" s="34">
        <v>524520</v>
      </c>
      <c r="N1978" s="2" t="s">
        <v>528</v>
      </c>
      <c r="O1978" s="2" t="s">
        <v>183</v>
      </c>
      <c r="P1978" s="2" t="str">
        <f t="shared" si="33"/>
        <v>524520-EQUIPO DE OFICINA-SUBCUENTA</v>
      </c>
    </row>
    <row r="1979" spans="13:16" x14ac:dyDescent="0.25">
      <c r="M1979" s="34">
        <v>524525</v>
      </c>
      <c r="N1979" s="2" t="s">
        <v>529</v>
      </c>
      <c r="O1979" s="2" t="s">
        <v>183</v>
      </c>
      <c r="P1979" s="2" t="str">
        <f t="shared" si="33"/>
        <v>524525-EQUIPO DE COMPUTACION Y COMUNICACION-SUBCUENTA</v>
      </c>
    </row>
    <row r="1980" spans="13:16" x14ac:dyDescent="0.25">
      <c r="M1980" s="34">
        <v>524530</v>
      </c>
      <c r="N1980" s="2" t="s">
        <v>561</v>
      </c>
      <c r="O1980" s="2" t="s">
        <v>183</v>
      </c>
      <c r="P1980" s="2" t="str">
        <f t="shared" si="33"/>
        <v>524530-EQUIPO MEDICO - CIENTIFICO-SUBCUENTA</v>
      </c>
    </row>
    <row r="1981" spans="13:16" x14ac:dyDescent="0.25">
      <c r="M1981" s="34">
        <v>524535</v>
      </c>
      <c r="N1981" s="2" t="s">
        <v>531</v>
      </c>
      <c r="O1981" s="2" t="s">
        <v>183</v>
      </c>
      <c r="P1981" s="2" t="str">
        <f t="shared" si="33"/>
        <v>524535-EQUIPO DE HOTELES Y RESTAURANTES-SUBCUENTA</v>
      </c>
    </row>
    <row r="1982" spans="13:16" x14ac:dyDescent="0.25">
      <c r="M1982" s="34">
        <v>524540</v>
      </c>
      <c r="N1982" s="2" t="s">
        <v>532</v>
      </c>
      <c r="O1982" s="2" t="s">
        <v>183</v>
      </c>
      <c r="P1982" s="2" t="str">
        <f t="shared" si="33"/>
        <v>524540-FLOTA Y EQUIPO DE TRANSPORTE-SUBCUENTA</v>
      </c>
    </row>
    <row r="1983" spans="13:16" x14ac:dyDescent="0.25">
      <c r="M1983" s="34">
        <v>524545</v>
      </c>
      <c r="N1983" s="2" t="s">
        <v>533</v>
      </c>
      <c r="O1983" s="2" t="s">
        <v>183</v>
      </c>
      <c r="P1983" s="2" t="str">
        <f t="shared" si="33"/>
        <v>524545-FLOTA Y EQUIPO FLUVIAL Y/O MARITIMO-SUBCUENTA</v>
      </c>
    </row>
    <row r="1984" spans="13:16" x14ac:dyDescent="0.25">
      <c r="M1984" s="34">
        <v>524550</v>
      </c>
      <c r="N1984" s="2" t="s">
        <v>534</v>
      </c>
      <c r="O1984" s="2" t="s">
        <v>183</v>
      </c>
      <c r="P1984" s="2" t="str">
        <f t="shared" si="33"/>
        <v>524550-FLOTA Y EQUIPO AEREO-SUBCUENTA</v>
      </c>
    </row>
    <row r="1985" spans="13:16" x14ac:dyDescent="0.25">
      <c r="M1985" s="34">
        <v>524555</v>
      </c>
      <c r="N1985" s="2" t="s">
        <v>535</v>
      </c>
      <c r="O1985" s="2" t="s">
        <v>183</v>
      </c>
      <c r="P1985" s="2" t="str">
        <f t="shared" si="33"/>
        <v>524555-FLOTA Y EQUIPO FERREO-SUBCUENTA</v>
      </c>
    </row>
    <row r="1986" spans="13:16" x14ac:dyDescent="0.25">
      <c r="M1986" s="34">
        <v>524560</v>
      </c>
      <c r="N1986" s="2" t="s">
        <v>521</v>
      </c>
      <c r="O1986" s="2" t="s">
        <v>183</v>
      </c>
      <c r="P1986" s="2" t="str">
        <f t="shared" si="33"/>
        <v>524560-ACUEDUCTOS PLANTAS Y REDES-SUBCUENTA</v>
      </c>
    </row>
    <row r="1987" spans="13:16" x14ac:dyDescent="0.25">
      <c r="M1987" s="34">
        <v>524565</v>
      </c>
      <c r="N1987" s="2" t="s">
        <v>616</v>
      </c>
      <c r="O1987" s="2" t="s">
        <v>183</v>
      </c>
      <c r="P1987" s="2" t="str">
        <f t="shared" si="33"/>
        <v>524565-ARMAMENTO DE VIGILANCIA-SUBCUENTA</v>
      </c>
    </row>
    <row r="1988" spans="13:16" x14ac:dyDescent="0.25">
      <c r="M1988" s="34">
        <v>524570</v>
      </c>
      <c r="N1988" s="2" t="s">
        <v>522</v>
      </c>
      <c r="O1988" s="2" t="s">
        <v>183</v>
      </c>
      <c r="P1988" s="2" t="str">
        <f t="shared" ref="P1988:P2051" si="34">IF(AND(M1988&lt;&gt;"",N1988&lt;&gt;"",O1988&lt;&gt;""),M1988&amp;"-"&amp;N1988&amp;"-"&amp;O1988,IF(AND(M1988="",N1988&lt;&gt;"",O1988&lt;&gt;""),N1988&amp;"-"&amp;O1988,IF(AND(M1988&lt;&gt;"",N1988="",O1988&lt;&gt;""),M1988&amp;"-"&amp;O1988,IF(AND(M1988&lt;&gt;"",N1988&lt;&gt;"",O1988=""),M1988&amp;"-"&amp;N1988,IF(AND(M1988&lt;&gt;"",N1988="",O1988=""),M1988,"")))))</f>
        <v>524570-VIAS DE COMUNICACION-SUBCUENTA</v>
      </c>
    </row>
    <row r="1989" spans="13:16" x14ac:dyDescent="0.25">
      <c r="M1989" s="34">
        <v>524599</v>
      </c>
      <c r="N1989" s="2" t="s">
        <v>367</v>
      </c>
      <c r="O1989" s="2" t="s">
        <v>183</v>
      </c>
      <c r="P1989" s="2" t="str">
        <f t="shared" si="34"/>
        <v>524599-AJUSTES POR INFLACION-SUBCUENTA</v>
      </c>
    </row>
    <row r="1990" spans="13:16" x14ac:dyDescent="0.25">
      <c r="M1990" s="34">
        <v>5250</v>
      </c>
      <c r="N1990" s="2" t="s">
        <v>1405</v>
      </c>
      <c r="O1990" s="2" t="s">
        <v>182</v>
      </c>
      <c r="P1990" s="2" t="str">
        <f t="shared" si="34"/>
        <v>5250-ADECUACION E INSTALACION-CUENTA</v>
      </c>
    </row>
    <row r="1991" spans="13:16" x14ac:dyDescent="0.25">
      <c r="M1991" s="34">
        <v>525005</v>
      </c>
      <c r="N1991" s="2" t="s">
        <v>1406</v>
      </c>
      <c r="O1991" s="2" t="s">
        <v>183</v>
      </c>
      <c r="P1991" s="2" t="str">
        <f t="shared" si="34"/>
        <v>525005-INSTALACIONES ELECTRICAS-SUBCUENTA</v>
      </c>
    </row>
    <row r="1992" spans="13:16" x14ac:dyDescent="0.25">
      <c r="M1992" s="34">
        <v>525010</v>
      </c>
      <c r="N1992" s="2" t="s">
        <v>1407</v>
      </c>
      <c r="O1992" s="2" t="s">
        <v>183</v>
      </c>
      <c r="P1992" s="2" t="str">
        <f t="shared" si="34"/>
        <v>525010-ARREGLOS ORNAMENTALES-SUBCUENTA</v>
      </c>
    </row>
    <row r="1993" spans="13:16" x14ac:dyDescent="0.25">
      <c r="M1993" s="34">
        <v>525015</v>
      </c>
      <c r="N1993" s="2" t="s">
        <v>1408</v>
      </c>
      <c r="O1993" s="2" t="s">
        <v>183</v>
      </c>
      <c r="P1993" s="2" t="str">
        <f t="shared" si="34"/>
        <v>525015-REPARACIONES LOCATIVAS-SUBCUENTA</v>
      </c>
    </row>
    <row r="1994" spans="13:16" x14ac:dyDescent="0.25">
      <c r="M1994" s="34">
        <v>525095</v>
      </c>
      <c r="N1994" s="2" t="s">
        <v>323</v>
      </c>
      <c r="O1994" s="2" t="s">
        <v>183</v>
      </c>
      <c r="P1994" s="2" t="str">
        <f t="shared" si="34"/>
        <v>525095-OTROS-SUBCUENTA</v>
      </c>
    </row>
    <row r="1995" spans="13:16" x14ac:dyDescent="0.25">
      <c r="M1995" s="34">
        <v>525099</v>
      </c>
      <c r="N1995" s="2" t="s">
        <v>367</v>
      </c>
      <c r="O1995" s="2" t="s">
        <v>183</v>
      </c>
      <c r="P1995" s="2" t="str">
        <f t="shared" si="34"/>
        <v>525099-AJUSTES POR INFLACION-SUBCUENTA</v>
      </c>
    </row>
    <row r="1996" spans="13:16" x14ac:dyDescent="0.25">
      <c r="M1996" s="34">
        <v>5255</v>
      </c>
      <c r="N1996" s="2" t="s">
        <v>738</v>
      </c>
      <c r="O1996" s="2" t="s">
        <v>182</v>
      </c>
      <c r="P1996" s="2" t="str">
        <f t="shared" si="34"/>
        <v>5255-GASTOS DE VIAJE-CUENTA</v>
      </c>
    </row>
    <row r="1997" spans="13:16" x14ac:dyDescent="0.25">
      <c r="M1997" s="34">
        <v>525505</v>
      </c>
      <c r="N1997" s="2" t="s">
        <v>1409</v>
      </c>
      <c r="O1997" s="2" t="s">
        <v>183</v>
      </c>
      <c r="P1997" s="2" t="str">
        <f t="shared" si="34"/>
        <v>525505-ALOJAMIENTO Y MANUTENCION-SUBCUENTA</v>
      </c>
    </row>
    <row r="1998" spans="13:16" x14ac:dyDescent="0.25">
      <c r="M1998" s="34">
        <v>525510</v>
      </c>
      <c r="N1998" s="2" t="s">
        <v>1410</v>
      </c>
      <c r="O1998" s="2" t="s">
        <v>183</v>
      </c>
      <c r="P1998" s="2" t="str">
        <f t="shared" si="34"/>
        <v>525510-PASAJES FLUVIALES Y/O MARITIMOS-SUBCUENTA</v>
      </c>
    </row>
    <row r="1999" spans="13:16" x14ac:dyDescent="0.25">
      <c r="M1999" s="34">
        <v>525515</v>
      </c>
      <c r="N1999" s="2" t="s">
        <v>1411</v>
      </c>
      <c r="O1999" s="2" t="s">
        <v>183</v>
      </c>
      <c r="P1999" s="2" t="str">
        <f t="shared" si="34"/>
        <v>525515-PASAJES AEREOS-SUBCUENTA</v>
      </c>
    </row>
    <row r="2000" spans="13:16" x14ac:dyDescent="0.25">
      <c r="M2000" s="34">
        <v>525520</v>
      </c>
      <c r="N2000" s="2" t="s">
        <v>1412</v>
      </c>
      <c r="O2000" s="2" t="s">
        <v>183</v>
      </c>
      <c r="P2000" s="2" t="str">
        <f t="shared" si="34"/>
        <v>525520-PASAJES TERRESTRES-SUBCUENTA</v>
      </c>
    </row>
    <row r="2001" spans="13:16" x14ac:dyDescent="0.25">
      <c r="M2001" s="34">
        <v>525525</v>
      </c>
      <c r="N2001" s="2" t="s">
        <v>1413</v>
      </c>
      <c r="O2001" s="2" t="s">
        <v>183</v>
      </c>
      <c r="P2001" s="2" t="str">
        <f t="shared" si="34"/>
        <v>525525-PASAJES FERREOS-SUBCUENTA</v>
      </c>
    </row>
    <row r="2002" spans="13:16" x14ac:dyDescent="0.25">
      <c r="M2002" s="34">
        <v>525595</v>
      </c>
      <c r="N2002" s="2" t="s">
        <v>323</v>
      </c>
      <c r="O2002" s="2" t="s">
        <v>183</v>
      </c>
      <c r="P2002" s="2" t="str">
        <f t="shared" si="34"/>
        <v>525595-OTROS-SUBCUENTA</v>
      </c>
    </row>
    <row r="2003" spans="13:16" x14ac:dyDescent="0.25">
      <c r="M2003" s="34">
        <v>525599</v>
      </c>
      <c r="N2003" s="2" t="s">
        <v>367</v>
      </c>
      <c r="O2003" s="2" t="s">
        <v>183</v>
      </c>
      <c r="P2003" s="2" t="str">
        <f t="shared" si="34"/>
        <v>525599-AJUSTES POR INFLACION-SUBCUENTA</v>
      </c>
    </row>
    <row r="2004" spans="13:16" x14ac:dyDescent="0.25">
      <c r="M2004" s="34">
        <v>5260</v>
      </c>
      <c r="N2004" s="2" t="s">
        <v>1414</v>
      </c>
      <c r="O2004" s="2" t="s">
        <v>182</v>
      </c>
      <c r="P2004" s="2" t="str">
        <f t="shared" si="34"/>
        <v>5260-DEPRECIACIONES-CUENTA</v>
      </c>
    </row>
    <row r="2005" spans="13:16" x14ac:dyDescent="0.25">
      <c r="M2005" s="34">
        <v>526005</v>
      </c>
      <c r="N2005" s="2" t="s">
        <v>520</v>
      </c>
      <c r="O2005" s="2" t="s">
        <v>183</v>
      </c>
      <c r="P2005" s="2" t="str">
        <f t="shared" si="34"/>
        <v>526005-CONSTRUCCIONES Y EDIFICACIONES-SUBCUENTA</v>
      </c>
    </row>
    <row r="2006" spans="13:16" x14ac:dyDescent="0.25">
      <c r="M2006" s="34">
        <v>526010</v>
      </c>
      <c r="N2006" s="2" t="s">
        <v>527</v>
      </c>
      <c r="O2006" s="2" t="s">
        <v>183</v>
      </c>
      <c r="P2006" s="2" t="str">
        <f t="shared" si="34"/>
        <v>526010-MAQUINARIA Y EQUIPO-SUBCUENTA</v>
      </c>
    </row>
    <row r="2007" spans="13:16" x14ac:dyDescent="0.25">
      <c r="M2007" s="34">
        <v>526015</v>
      </c>
      <c r="N2007" s="2" t="s">
        <v>528</v>
      </c>
      <c r="O2007" s="2" t="s">
        <v>183</v>
      </c>
      <c r="P2007" s="2" t="str">
        <f t="shared" si="34"/>
        <v>526015-EQUIPO DE OFICINA-SUBCUENTA</v>
      </c>
    </row>
    <row r="2008" spans="13:16" x14ac:dyDescent="0.25">
      <c r="M2008" s="34">
        <v>526020</v>
      </c>
      <c r="N2008" s="2" t="s">
        <v>529</v>
      </c>
      <c r="O2008" s="2" t="s">
        <v>183</v>
      </c>
      <c r="P2008" s="2" t="str">
        <f t="shared" si="34"/>
        <v>526020-EQUIPO DE COMPUTACION Y COMUNICACION-SUBCUENTA</v>
      </c>
    </row>
    <row r="2009" spans="13:16" x14ac:dyDescent="0.25">
      <c r="M2009" s="34">
        <v>526025</v>
      </c>
      <c r="N2009" s="2" t="s">
        <v>561</v>
      </c>
      <c r="O2009" s="2" t="s">
        <v>183</v>
      </c>
      <c r="P2009" s="2" t="str">
        <f t="shared" si="34"/>
        <v>526025-EQUIPO MEDICO - CIENTIFICO-SUBCUENTA</v>
      </c>
    </row>
    <row r="2010" spans="13:16" x14ac:dyDescent="0.25">
      <c r="M2010" s="34">
        <v>526030</v>
      </c>
      <c r="N2010" s="2" t="s">
        <v>531</v>
      </c>
      <c r="O2010" s="2" t="s">
        <v>183</v>
      </c>
      <c r="P2010" s="2" t="str">
        <f t="shared" si="34"/>
        <v>526030-EQUIPO DE HOTELES Y RESTAURANTES-SUBCUENTA</v>
      </c>
    </row>
    <row r="2011" spans="13:16" x14ac:dyDescent="0.25">
      <c r="M2011" s="34">
        <v>526035</v>
      </c>
      <c r="N2011" s="2" t="s">
        <v>532</v>
      </c>
      <c r="O2011" s="2" t="s">
        <v>183</v>
      </c>
      <c r="P2011" s="2" t="str">
        <f t="shared" si="34"/>
        <v>526035-FLOTA Y EQUIPO DE TRANSPORTE-SUBCUENTA</v>
      </c>
    </row>
    <row r="2012" spans="13:16" x14ac:dyDescent="0.25">
      <c r="M2012" s="34">
        <v>526040</v>
      </c>
      <c r="N2012" s="2" t="s">
        <v>533</v>
      </c>
      <c r="O2012" s="2" t="s">
        <v>183</v>
      </c>
      <c r="P2012" s="2" t="str">
        <f t="shared" si="34"/>
        <v>526040-FLOTA Y EQUIPO FLUVIAL Y/O MARITIMO-SUBCUENTA</v>
      </c>
    </row>
    <row r="2013" spans="13:16" x14ac:dyDescent="0.25">
      <c r="M2013" s="34">
        <v>526045</v>
      </c>
      <c r="N2013" s="2" t="s">
        <v>534</v>
      </c>
      <c r="O2013" s="2" t="s">
        <v>183</v>
      </c>
      <c r="P2013" s="2" t="str">
        <f t="shared" si="34"/>
        <v>526045-FLOTA Y EQUIPO AEREO-SUBCUENTA</v>
      </c>
    </row>
    <row r="2014" spans="13:16" x14ac:dyDescent="0.25">
      <c r="M2014" s="34">
        <v>526050</v>
      </c>
      <c r="N2014" s="2" t="s">
        <v>535</v>
      </c>
      <c r="O2014" s="2" t="s">
        <v>183</v>
      </c>
      <c r="P2014" s="2" t="str">
        <f t="shared" si="34"/>
        <v>526050-FLOTA Y EQUIPO FERREO-SUBCUENTA</v>
      </c>
    </row>
    <row r="2015" spans="13:16" x14ac:dyDescent="0.25">
      <c r="M2015" s="34">
        <v>526055</v>
      </c>
      <c r="N2015" s="2" t="s">
        <v>637</v>
      </c>
      <c r="O2015" s="2" t="s">
        <v>183</v>
      </c>
      <c r="P2015" s="2" t="str">
        <f t="shared" si="34"/>
        <v>526055-ACUEDUCTOS, PLANTAS Y REDES-SUBCUENTA</v>
      </c>
    </row>
    <row r="2016" spans="13:16" x14ac:dyDescent="0.25">
      <c r="M2016" s="34">
        <v>526060</v>
      </c>
      <c r="N2016" s="2" t="s">
        <v>616</v>
      </c>
      <c r="O2016" s="2" t="s">
        <v>183</v>
      </c>
      <c r="P2016" s="2" t="str">
        <f t="shared" si="34"/>
        <v>526060-ARMAMENTO DE VIGILANCIA-SUBCUENTA</v>
      </c>
    </row>
    <row r="2017" spans="13:16" x14ac:dyDescent="0.25">
      <c r="M2017" s="34">
        <v>526065</v>
      </c>
      <c r="N2017" s="2" t="s">
        <v>506</v>
      </c>
      <c r="O2017" s="2" t="s">
        <v>183</v>
      </c>
      <c r="P2017" s="2" t="str">
        <f t="shared" si="34"/>
        <v>526065-ENVASES Y EMPAQUES-SUBCUENTA</v>
      </c>
    </row>
    <row r="2018" spans="13:16" x14ac:dyDescent="0.25">
      <c r="M2018" s="34">
        <v>526099</v>
      </c>
      <c r="N2018" s="2" t="s">
        <v>367</v>
      </c>
      <c r="O2018" s="2" t="s">
        <v>183</v>
      </c>
      <c r="P2018" s="2" t="str">
        <f t="shared" si="34"/>
        <v>526099-AJUSTES POR INFLACION-SUBCUENTA</v>
      </c>
    </row>
    <row r="2019" spans="13:16" x14ac:dyDescent="0.25">
      <c r="M2019" s="34">
        <v>5265</v>
      </c>
      <c r="N2019" s="2" t="s">
        <v>1415</v>
      </c>
      <c r="O2019" s="2" t="s">
        <v>182</v>
      </c>
      <c r="P2019" s="2" t="str">
        <f t="shared" si="34"/>
        <v>5265-AMORTIZACIONES-CUENTA</v>
      </c>
    </row>
    <row r="2020" spans="13:16" x14ac:dyDescent="0.25">
      <c r="M2020" s="34">
        <v>526505</v>
      </c>
      <c r="N2020" s="2" t="s">
        <v>522</v>
      </c>
      <c r="O2020" s="2" t="s">
        <v>183</v>
      </c>
      <c r="P2020" s="2" t="str">
        <f t="shared" si="34"/>
        <v>526505-VIAS DE COMUNICACION-SUBCUENTA</v>
      </c>
    </row>
    <row r="2021" spans="13:16" x14ac:dyDescent="0.25">
      <c r="M2021" s="34">
        <v>526510</v>
      </c>
      <c r="N2021" s="2" t="s">
        <v>638</v>
      </c>
      <c r="O2021" s="2" t="s">
        <v>183</v>
      </c>
      <c r="P2021" s="2" t="str">
        <f t="shared" si="34"/>
        <v>526510-INTANGIBLES-SUBCUENTA</v>
      </c>
    </row>
    <row r="2022" spans="13:16" x14ac:dyDescent="0.25">
      <c r="M2022" s="34">
        <v>526515</v>
      </c>
      <c r="N2022" s="2" t="s">
        <v>663</v>
      </c>
      <c r="O2022" s="2" t="s">
        <v>183</v>
      </c>
      <c r="P2022" s="2" t="str">
        <f t="shared" si="34"/>
        <v>526515-CARGOS DIFERIDOS-SUBCUENTA</v>
      </c>
    </row>
    <row r="2023" spans="13:16" x14ac:dyDescent="0.25">
      <c r="M2023" s="34">
        <v>526595</v>
      </c>
      <c r="N2023" s="2" t="s">
        <v>328</v>
      </c>
      <c r="O2023" s="2" t="s">
        <v>183</v>
      </c>
      <c r="P2023" s="2" t="str">
        <f t="shared" si="34"/>
        <v>526595-OTRAS-SUBCUENTA</v>
      </c>
    </row>
    <row r="2024" spans="13:16" x14ac:dyDescent="0.25">
      <c r="M2024" s="34">
        <v>526599</v>
      </c>
      <c r="N2024" s="2" t="s">
        <v>367</v>
      </c>
      <c r="O2024" s="2" t="s">
        <v>183</v>
      </c>
      <c r="P2024" s="2" t="str">
        <f t="shared" si="34"/>
        <v>526599-AJUSTES POR INFLACION-SUBCUENTA</v>
      </c>
    </row>
    <row r="2025" spans="13:16" x14ac:dyDescent="0.25">
      <c r="M2025" s="34">
        <v>5270</v>
      </c>
      <c r="N2025" s="2" t="s">
        <v>1430</v>
      </c>
      <c r="O2025" s="2" t="s">
        <v>182</v>
      </c>
      <c r="P2025" s="2" t="str">
        <f t="shared" si="34"/>
        <v>5270-FINANCIEROS - REAJUSTE DEL SISTEMA-CUENTA</v>
      </c>
    </row>
    <row r="2026" spans="13:16" x14ac:dyDescent="0.25">
      <c r="M2026" s="34" t="s">
        <v>272</v>
      </c>
      <c r="N2026" s="2" t="s">
        <v>188</v>
      </c>
      <c r="O2026" s="2" t="s">
        <v>188</v>
      </c>
      <c r="P2026" s="2" t="str">
        <f t="shared" si="34"/>
        <v xml:space="preserve">527001 a 527098 </v>
      </c>
    </row>
    <row r="2027" spans="13:16" x14ac:dyDescent="0.25">
      <c r="M2027" s="34">
        <v>527099</v>
      </c>
      <c r="N2027" s="2" t="s">
        <v>367</v>
      </c>
      <c r="O2027" s="2" t="s">
        <v>183</v>
      </c>
      <c r="P2027" s="2" t="str">
        <f t="shared" si="34"/>
        <v>527099-AJUSTES POR INFLACION-SUBCUENTA</v>
      </c>
    </row>
    <row r="2028" spans="13:16" x14ac:dyDescent="0.25">
      <c r="M2028" s="34">
        <v>5295</v>
      </c>
      <c r="N2028" s="2" t="s">
        <v>693</v>
      </c>
      <c r="O2028" s="2" t="s">
        <v>182</v>
      </c>
      <c r="P2028" s="2" t="str">
        <f t="shared" si="34"/>
        <v>5295-DIVERSOS-CUENTA</v>
      </c>
    </row>
    <row r="2029" spans="13:16" x14ac:dyDescent="0.25">
      <c r="M2029" s="34">
        <v>529505</v>
      </c>
      <c r="N2029" s="2" t="s">
        <v>432</v>
      </c>
      <c r="O2029" s="2" t="s">
        <v>183</v>
      </c>
      <c r="P2029" s="2" t="str">
        <f t="shared" si="34"/>
        <v>529505-COMISIONES-SUBCUENTA</v>
      </c>
    </row>
    <row r="2030" spans="13:16" x14ac:dyDescent="0.25">
      <c r="M2030" s="34">
        <v>529510</v>
      </c>
      <c r="N2030" s="2" t="s">
        <v>732</v>
      </c>
      <c r="O2030" s="2" t="s">
        <v>183</v>
      </c>
      <c r="P2030" s="2" t="str">
        <f t="shared" si="34"/>
        <v>529510-LIBROS, SUSCRIPCIONES, PERIODICOS Y REVISTAS-SUBCUENTA</v>
      </c>
    </row>
    <row r="2031" spans="13:16" x14ac:dyDescent="0.25">
      <c r="M2031" s="34">
        <v>529515</v>
      </c>
      <c r="N2031" s="2" t="s">
        <v>1416</v>
      </c>
      <c r="O2031" s="2" t="s">
        <v>183</v>
      </c>
      <c r="P2031" s="2" t="str">
        <f t="shared" si="34"/>
        <v>529515-MUSICA AMBIENTAL-SUBCUENTA</v>
      </c>
    </row>
    <row r="2032" spans="13:16" x14ac:dyDescent="0.25">
      <c r="M2032" s="34">
        <v>529520</v>
      </c>
      <c r="N2032" s="2" t="s">
        <v>739</v>
      </c>
      <c r="O2032" s="2" t="s">
        <v>183</v>
      </c>
      <c r="P2032" s="2" t="str">
        <f t="shared" si="34"/>
        <v>529520-GASTOS DE REPRESENTACION Y RELACIONES PUBLICAS-SUBCUENTA</v>
      </c>
    </row>
    <row r="2033" spans="13:16" x14ac:dyDescent="0.25">
      <c r="M2033" s="34">
        <v>529525</v>
      </c>
      <c r="N2033" s="2" t="s">
        <v>674</v>
      </c>
      <c r="O2033" s="2" t="s">
        <v>183</v>
      </c>
      <c r="P2033" s="2" t="str">
        <f t="shared" si="34"/>
        <v>529525-ELEMENTOS DE ASEO Y CAFETERIA-SUBCUENTA</v>
      </c>
    </row>
    <row r="2034" spans="13:16" x14ac:dyDescent="0.25">
      <c r="M2034" s="34">
        <v>529530</v>
      </c>
      <c r="N2034" s="2" t="s">
        <v>1321</v>
      </c>
      <c r="O2034" s="2" t="s">
        <v>183</v>
      </c>
      <c r="P2034" s="2" t="str">
        <f t="shared" si="34"/>
        <v>529530-UTILES, PAPELERIA Y FOTOCOPIAS-SUBCUENTA</v>
      </c>
    </row>
    <row r="2035" spans="13:16" x14ac:dyDescent="0.25">
      <c r="M2035" s="34">
        <v>529535</v>
      </c>
      <c r="N2035" s="2" t="s">
        <v>494</v>
      </c>
      <c r="O2035" s="2" t="s">
        <v>183</v>
      </c>
      <c r="P2035" s="2" t="str">
        <f t="shared" si="34"/>
        <v>529535-COMBUSTIBLES Y LUBRICANTES-SUBCUENTA</v>
      </c>
    </row>
    <row r="2036" spans="13:16" x14ac:dyDescent="0.25">
      <c r="M2036" s="34">
        <v>529540</v>
      </c>
      <c r="N2036" s="2" t="s">
        <v>506</v>
      </c>
      <c r="O2036" s="2" t="s">
        <v>183</v>
      </c>
      <c r="P2036" s="2" t="str">
        <f t="shared" si="34"/>
        <v>529540-ENVASES Y EMPAQUES-SUBCUENTA</v>
      </c>
    </row>
    <row r="2037" spans="13:16" x14ac:dyDescent="0.25">
      <c r="M2037" s="34">
        <v>529545</v>
      </c>
      <c r="N2037" s="2" t="s">
        <v>1417</v>
      </c>
      <c r="O2037" s="2" t="s">
        <v>183</v>
      </c>
      <c r="P2037" s="2" t="str">
        <f t="shared" si="34"/>
        <v>529545-TAXIS Y BUSES-SUBCUENTA</v>
      </c>
    </row>
    <row r="2038" spans="13:16" x14ac:dyDescent="0.25">
      <c r="M2038" s="34">
        <v>529550</v>
      </c>
      <c r="N2038" s="2" t="s">
        <v>699</v>
      </c>
      <c r="O2038" s="2" t="s">
        <v>183</v>
      </c>
      <c r="P2038" s="2" t="str">
        <f t="shared" si="34"/>
        <v>529550-ESTAMPILLAS-SUBCUENTA</v>
      </c>
    </row>
    <row r="2039" spans="13:16" x14ac:dyDescent="0.25">
      <c r="M2039" s="34">
        <v>529555</v>
      </c>
      <c r="N2039" s="2" t="s">
        <v>1418</v>
      </c>
      <c r="O2039" s="2" t="s">
        <v>183</v>
      </c>
      <c r="P2039" s="2" t="str">
        <f t="shared" si="34"/>
        <v>529555-MICROFILMACION-SUBCUENTA</v>
      </c>
    </row>
    <row r="2040" spans="13:16" x14ac:dyDescent="0.25">
      <c r="M2040" s="34">
        <v>529560</v>
      </c>
      <c r="N2040" s="2" t="s">
        <v>1419</v>
      </c>
      <c r="O2040" s="2" t="s">
        <v>183</v>
      </c>
      <c r="P2040" s="2" t="str">
        <f t="shared" si="34"/>
        <v>529560-CASINO Y RESTAURANTE-SUBCUENTA</v>
      </c>
    </row>
    <row r="2041" spans="13:16" x14ac:dyDescent="0.25">
      <c r="M2041" s="34">
        <v>529565</v>
      </c>
      <c r="N2041" s="2" t="s">
        <v>1420</v>
      </c>
      <c r="O2041" s="2" t="s">
        <v>183</v>
      </c>
      <c r="P2041" s="2" t="str">
        <f t="shared" si="34"/>
        <v>529565-PARQUEADEROS-SUBCUENTA</v>
      </c>
    </row>
    <row r="2042" spans="13:16" x14ac:dyDescent="0.25">
      <c r="M2042" s="34">
        <v>529570</v>
      </c>
      <c r="N2042" s="2" t="s">
        <v>1421</v>
      </c>
      <c r="O2042" s="2" t="s">
        <v>183</v>
      </c>
      <c r="P2042" s="2" t="str">
        <f t="shared" si="34"/>
        <v>529570-INDEMNIZACION POR DAÑOS A TERCEROS-SUBCUENTA</v>
      </c>
    </row>
    <row r="2043" spans="13:16" x14ac:dyDescent="0.25">
      <c r="M2043" s="34">
        <v>529575</v>
      </c>
      <c r="N2043" s="2" t="s">
        <v>1422</v>
      </c>
      <c r="O2043" s="2" t="s">
        <v>183</v>
      </c>
      <c r="P2043" s="2" t="str">
        <f t="shared" si="34"/>
        <v>529575-POLVORA Y SIMILARES-SUBCUENTA</v>
      </c>
    </row>
    <row r="2044" spans="13:16" x14ac:dyDescent="0.25">
      <c r="M2044" s="34">
        <v>529595</v>
      </c>
      <c r="N2044" s="2" t="s">
        <v>323</v>
      </c>
      <c r="O2044" s="2" t="s">
        <v>183</v>
      </c>
      <c r="P2044" s="2" t="str">
        <f t="shared" si="34"/>
        <v>529595-OTROS-SUBCUENTA</v>
      </c>
    </row>
    <row r="2045" spans="13:16" x14ac:dyDescent="0.25">
      <c r="M2045" s="34">
        <v>529599</v>
      </c>
      <c r="N2045" s="2" t="s">
        <v>367</v>
      </c>
      <c r="O2045" s="2" t="s">
        <v>183</v>
      </c>
      <c r="P2045" s="2" t="str">
        <f t="shared" si="34"/>
        <v>529599-AJUSTES POR INFLACION-SUBCUENTA</v>
      </c>
    </row>
    <row r="2046" spans="13:16" x14ac:dyDescent="0.25">
      <c r="M2046" s="34">
        <v>5299</v>
      </c>
      <c r="N2046" s="2" t="s">
        <v>379</v>
      </c>
      <c r="O2046" s="2" t="s">
        <v>182</v>
      </c>
      <c r="P2046" s="2" t="str">
        <f t="shared" si="34"/>
        <v>5299-PROVISIONES-CUENTA</v>
      </c>
    </row>
    <row r="2047" spans="13:16" x14ac:dyDescent="0.25">
      <c r="M2047" s="34">
        <v>529905</v>
      </c>
      <c r="N2047" s="2" t="s">
        <v>319</v>
      </c>
      <c r="O2047" s="2" t="s">
        <v>183</v>
      </c>
      <c r="P2047" s="2" t="str">
        <f t="shared" si="34"/>
        <v>529905-INVERSIONES-SUBCUENTA</v>
      </c>
    </row>
    <row r="2048" spans="13:16" x14ac:dyDescent="0.25">
      <c r="M2048" s="34">
        <v>529910</v>
      </c>
      <c r="N2048" s="2" t="s">
        <v>381</v>
      </c>
      <c r="O2048" s="2" t="s">
        <v>183</v>
      </c>
      <c r="P2048" s="2" t="str">
        <f t="shared" si="34"/>
        <v>529910-DEUDORES-SUBCUENTA</v>
      </c>
    </row>
    <row r="2049" spans="13:16" x14ac:dyDescent="0.25">
      <c r="M2049" s="34">
        <v>529915</v>
      </c>
      <c r="N2049" s="2" t="s">
        <v>472</v>
      </c>
      <c r="O2049" s="2" t="s">
        <v>183</v>
      </c>
      <c r="P2049" s="2" t="str">
        <f t="shared" si="34"/>
        <v>529915-INVENTARIOS-SUBCUENTA</v>
      </c>
    </row>
    <row r="2050" spans="13:16" x14ac:dyDescent="0.25">
      <c r="M2050" s="34">
        <v>529920</v>
      </c>
      <c r="N2050" s="2" t="s">
        <v>1423</v>
      </c>
      <c r="O2050" s="2" t="s">
        <v>183</v>
      </c>
      <c r="P2050" s="2" t="str">
        <f t="shared" si="34"/>
        <v>529920-PROPIEDADES, PLANTA Y EQUIPO-SUBCUENTA</v>
      </c>
    </row>
    <row r="2051" spans="13:16" x14ac:dyDescent="0.25">
      <c r="M2051" s="34">
        <v>529995</v>
      </c>
      <c r="N2051" s="2" t="s">
        <v>689</v>
      </c>
      <c r="O2051" s="2" t="s">
        <v>183</v>
      </c>
      <c r="P2051" s="2" t="str">
        <f t="shared" si="34"/>
        <v>529995-OTROS ACTIVOS-SUBCUENTA</v>
      </c>
    </row>
    <row r="2052" spans="13:16" x14ac:dyDescent="0.25">
      <c r="M2052" s="34">
        <v>529999</v>
      </c>
      <c r="N2052" s="2" t="s">
        <v>367</v>
      </c>
      <c r="O2052" s="2" t="s">
        <v>183</v>
      </c>
      <c r="P2052" s="2" t="str">
        <f t="shared" ref="P2052:P2115" si="35">IF(AND(M2052&lt;&gt;"",N2052&lt;&gt;"",O2052&lt;&gt;""),M2052&amp;"-"&amp;N2052&amp;"-"&amp;O2052,IF(AND(M2052="",N2052&lt;&gt;"",O2052&lt;&gt;""),N2052&amp;"-"&amp;O2052,IF(AND(M2052&lt;&gt;"",N2052="",O2052&lt;&gt;""),M2052&amp;"-"&amp;O2052,IF(AND(M2052&lt;&gt;"",N2052&lt;&gt;"",O2052=""),M2052&amp;"-"&amp;N2052,IF(AND(M2052&lt;&gt;"",N2052="",O2052=""),M2052,"")))))</f>
        <v>529999-AJUSTES POR INFLACION-SUBCUENTA</v>
      </c>
    </row>
    <row r="2053" spans="13:16" x14ac:dyDescent="0.25">
      <c r="M2053" s="34">
        <v>53</v>
      </c>
      <c r="N2053" s="2" t="s">
        <v>1225</v>
      </c>
      <c r="O2053" s="2" t="s">
        <v>181</v>
      </c>
      <c r="P2053" s="2" t="str">
        <f t="shared" si="35"/>
        <v>53-NO OPERACIONALES-GRUPO</v>
      </c>
    </row>
    <row r="2054" spans="13:16" x14ac:dyDescent="0.25">
      <c r="M2054" s="34">
        <v>5305</v>
      </c>
      <c r="N2054" s="2" t="s">
        <v>1235</v>
      </c>
      <c r="O2054" s="2" t="s">
        <v>182</v>
      </c>
      <c r="P2054" s="2" t="str">
        <f t="shared" si="35"/>
        <v>5305-FINANCIEROS-CUENTA</v>
      </c>
    </row>
    <row r="2055" spans="13:16" x14ac:dyDescent="0.25">
      <c r="M2055" s="34">
        <v>530505</v>
      </c>
      <c r="N2055" s="2" t="s">
        <v>1286</v>
      </c>
      <c r="O2055" s="2" t="s">
        <v>183</v>
      </c>
      <c r="P2055" s="2" t="str">
        <f t="shared" si="35"/>
        <v>530505-GASTOS BANCARIOS-SUBCUENTA</v>
      </c>
    </row>
    <row r="2056" spans="13:16" x14ac:dyDescent="0.25">
      <c r="M2056" s="34">
        <v>530510</v>
      </c>
      <c r="N2056" s="2" t="s">
        <v>1172</v>
      </c>
      <c r="O2056" s="2" t="s">
        <v>183</v>
      </c>
      <c r="P2056" s="2" t="str">
        <f t="shared" si="35"/>
        <v>530510-REAJUSTE MONETARIO - UPAC-SUBCUENTA</v>
      </c>
    </row>
    <row r="2057" spans="13:16" x14ac:dyDescent="0.25">
      <c r="M2057" s="34">
        <v>530515</v>
      </c>
      <c r="N2057" s="2" t="s">
        <v>432</v>
      </c>
      <c r="O2057" s="2" t="s">
        <v>183</v>
      </c>
      <c r="P2057" s="2" t="str">
        <f t="shared" si="35"/>
        <v>530515-COMISIONES-SUBCUENTA</v>
      </c>
    </row>
    <row r="2058" spans="13:16" x14ac:dyDescent="0.25">
      <c r="M2058" s="34">
        <v>530520</v>
      </c>
      <c r="N2058" s="2" t="s">
        <v>431</v>
      </c>
      <c r="O2058" s="2" t="s">
        <v>183</v>
      </c>
      <c r="P2058" s="2" t="str">
        <f t="shared" si="35"/>
        <v>530520-INTERESES-SUBCUENTA</v>
      </c>
    </row>
    <row r="2059" spans="13:16" x14ac:dyDescent="0.25">
      <c r="M2059" s="34">
        <v>530525</v>
      </c>
      <c r="N2059" s="2" t="s">
        <v>1237</v>
      </c>
      <c r="O2059" s="2" t="s">
        <v>183</v>
      </c>
      <c r="P2059" s="2" t="str">
        <f t="shared" si="35"/>
        <v>530525-DIFERENCIA EN CAMBIO-SUBCUENTA</v>
      </c>
    </row>
    <row r="2060" spans="13:16" x14ac:dyDescent="0.25">
      <c r="M2060" s="34">
        <v>530530</v>
      </c>
      <c r="N2060" s="2" t="s">
        <v>1431</v>
      </c>
      <c r="O2060" s="2" t="s">
        <v>183</v>
      </c>
      <c r="P2060" s="2" t="str">
        <f t="shared" si="35"/>
        <v>530530-GASTOS EN NEGOCIACION CERTIFICADOS DE CAMBIO-SUBCUENTA</v>
      </c>
    </row>
    <row r="2061" spans="13:16" x14ac:dyDescent="0.25">
      <c r="M2061" s="34">
        <v>530535</v>
      </c>
      <c r="N2061" s="2" t="s">
        <v>1240</v>
      </c>
      <c r="O2061" s="2" t="s">
        <v>183</v>
      </c>
      <c r="P2061" s="2" t="str">
        <f t="shared" si="35"/>
        <v>530535-DESCUENTOS COMERCIALES CONDICIONADOS-SUBCUENTA</v>
      </c>
    </row>
    <row r="2062" spans="13:16" x14ac:dyDescent="0.25">
      <c r="M2062" s="34">
        <v>530540</v>
      </c>
      <c r="N2062" s="2" t="s">
        <v>1432</v>
      </c>
      <c r="O2062" s="2" t="s">
        <v>183</v>
      </c>
      <c r="P2062" s="2" t="str">
        <f t="shared" si="35"/>
        <v>530540-GASTOS MANEJO Y EMISION DE BONOS-SUBCUENTA</v>
      </c>
    </row>
    <row r="2063" spans="13:16" x14ac:dyDescent="0.25">
      <c r="M2063" s="34">
        <v>530545</v>
      </c>
      <c r="N2063" s="2" t="s">
        <v>1433</v>
      </c>
      <c r="O2063" s="2" t="s">
        <v>183</v>
      </c>
      <c r="P2063" s="2" t="str">
        <f t="shared" si="35"/>
        <v>530545-PRIMA AMORTIZADA-SUBCUENTA</v>
      </c>
    </row>
    <row r="2064" spans="13:16" x14ac:dyDescent="0.25">
      <c r="M2064" s="34">
        <v>530595</v>
      </c>
      <c r="N2064" s="2" t="s">
        <v>323</v>
      </c>
      <c r="O2064" s="2" t="s">
        <v>183</v>
      </c>
      <c r="P2064" s="2" t="str">
        <f t="shared" si="35"/>
        <v>530595-OTROS-SUBCUENTA</v>
      </c>
    </row>
    <row r="2065" spans="13:16" x14ac:dyDescent="0.25">
      <c r="M2065" s="34">
        <v>530599</v>
      </c>
      <c r="N2065" s="2" t="s">
        <v>367</v>
      </c>
      <c r="O2065" s="2" t="s">
        <v>183</v>
      </c>
      <c r="P2065" s="2" t="str">
        <f t="shared" si="35"/>
        <v>530599-AJUSTES POR INFLACION-SUBCUENTA</v>
      </c>
    </row>
    <row r="2066" spans="13:16" x14ac:dyDescent="0.25">
      <c r="M2066" s="34">
        <v>5310</v>
      </c>
      <c r="N2066" s="2" t="s">
        <v>1434</v>
      </c>
      <c r="O2066" s="2" t="s">
        <v>182</v>
      </c>
      <c r="P2066" s="2" t="str">
        <f t="shared" si="35"/>
        <v>5310-PERDIDA EN VENTA Y RETIRO DE BIENES-CUENTA</v>
      </c>
    </row>
    <row r="2067" spans="13:16" x14ac:dyDescent="0.25">
      <c r="M2067" s="34">
        <v>531005</v>
      </c>
      <c r="N2067" s="2" t="s">
        <v>1169</v>
      </c>
      <c r="O2067" s="2" t="s">
        <v>183</v>
      </c>
      <c r="P2067" s="2" t="str">
        <f t="shared" si="35"/>
        <v>531005-VENTA DE INVERSIONES-SUBCUENTA</v>
      </c>
    </row>
    <row r="2068" spans="13:16" x14ac:dyDescent="0.25">
      <c r="M2068" s="34">
        <v>531010</v>
      </c>
      <c r="N2068" s="2" t="s">
        <v>1435</v>
      </c>
      <c r="O2068" s="2" t="s">
        <v>183</v>
      </c>
      <c r="P2068" s="2" t="str">
        <f t="shared" si="35"/>
        <v>531010-VENTA DE CARTERA-SUBCUENTA</v>
      </c>
    </row>
    <row r="2069" spans="13:16" x14ac:dyDescent="0.25">
      <c r="M2069" s="34">
        <v>531015</v>
      </c>
      <c r="N2069" s="2" t="s">
        <v>1436</v>
      </c>
      <c r="O2069" s="2" t="s">
        <v>183</v>
      </c>
      <c r="P2069" s="2" t="str">
        <f t="shared" si="35"/>
        <v>531015-VENTA DE PROPIEDADES PLANTA Y EQUIPO-SUBCUENTA</v>
      </c>
    </row>
    <row r="2070" spans="13:16" x14ac:dyDescent="0.25">
      <c r="M2070" s="34">
        <v>531020</v>
      </c>
      <c r="N2070" s="2" t="s">
        <v>1437</v>
      </c>
      <c r="O2070" s="2" t="s">
        <v>183</v>
      </c>
      <c r="P2070" s="2" t="str">
        <f t="shared" si="35"/>
        <v>531020-VENTA DE INTANGIBLES-SUBCUENTA</v>
      </c>
    </row>
    <row r="2071" spans="13:16" x14ac:dyDescent="0.25">
      <c r="M2071" s="34">
        <v>531025</v>
      </c>
      <c r="N2071" s="2" t="s">
        <v>1438</v>
      </c>
      <c r="O2071" s="2" t="s">
        <v>183</v>
      </c>
      <c r="P2071" s="2" t="str">
        <f t="shared" si="35"/>
        <v>531025-VENTA DE OTROS ACTIVOS-SUBCUENTA</v>
      </c>
    </row>
    <row r="2072" spans="13:16" x14ac:dyDescent="0.25">
      <c r="M2072" s="34">
        <v>531030</v>
      </c>
      <c r="N2072" s="2" t="s">
        <v>1439</v>
      </c>
      <c r="O2072" s="2" t="s">
        <v>183</v>
      </c>
      <c r="P2072" s="2" t="str">
        <f t="shared" si="35"/>
        <v>531030-RETIRO DE PROPIEDADES PLANTA Y EQUIPO-SUBCUENTA</v>
      </c>
    </row>
    <row r="2073" spans="13:16" x14ac:dyDescent="0.25">
      <c r="M2073" s="34">
        <v>531035</v>
      </c>
      <c r="N2073" s="2" t="s">
        <v>1440</v>
      </c>
      <c r="O2073" s="2" t="s">
        <v>183</v>
      </c>
      <c r="P2073" s="2" t="str">
        <f t="shared" si="35"/>
        <v>531035-RETIRO DE OTROS ACTIVOS-SUBCUENTA</v>
      </c>
    </row>
    <row r="2074" spans="13:16" x14ac:dyDescent="0.25">
      <c r="M2074" s="34">
        <v>531040</v>
      </c>
      <c r="N2074" s="2" t="s">
        <v>1441</v>
      </c>
      <c r="O2074" s="2" t="s">
        <v>183</v>
      </c>
      <c r="P2074" s="2" t="str">
        <f t="shared" si="35"/>
        <v>531040-PERDIDAS POR SINIESTROS-SUBCUENTA</v>
      </c>
    </row>
    <row r="2075" spans="13:16" x14ac:dyDescent="0.25">
      <c r="M2075" s="34">
        <v>531095</v>
      </c>
      <c r="N2075" s="2" t="s">
        <v>323</v>
      </c>
      <c r="O2075" s="2" t="s">
        <v>183</v>
      </c>
      <c r="P2075" s="2" t="str">
        <f t="shared" si="35"/>
        <v>531095-OTROS-SUBCUENTA</v>
      </c>
    </row>
    <row r="2076" spans="13:16" x14ac:dyDescent="0.25">
      <c r="M2076" s="34">
        <v>531099</v>
      </c>
      <c r="N2076" s="2" t="s">
        <v>367</v>
      </c>
      <c r="O2076" s="2" t="s">
        <v>183</v>
      </c>
      <c r="P2076" s="2" t="str">
        <f t="shared" si="35"/>
        <v>531099-AJUSTES POR INFLACION-SUBCUENTA</v>
      </c>
    </row>
    <row r="2077" spans="13:16" x14ac:dyDescent="0.25">
      <c r="M2077" s="34">
        <v>5315</v>
      </c>
      <c r="N2077" s="2" t="s">
        <v>1442</v>
      </c>
      <c r="O2077" s="2" t="s">
        <v>182</v>
      </c>
      <c r="P2077" s="2" t="str">
        <f t="shared" si="35"/>
        <v>5315-GASTOS EXTRAORDINARIOS-CUENTA</v>
      </c>
    </row>
    <row r="2078" spans="13:16" x14ac:dyDescent="0.25">
      <c r="M2078" s="34">
        <v>531505</v>
      </c>
      <c r="N2078" s="2" t="s">
        <v>1443</v>
      </c>
      <c r="O2078" s="2" t="s">
        <v>183</v>
      </c>
      <c r="P2078" s="2" t="str">
        <f t="shared" si="35"/>
        <v>531505-COSTAS Y PROCESOS JUDICIALES-SUBCUENTA</v>
      </c>
    </row>
    <row r="2079" spans="13:16" x14ac:dyDescent="0.25">
      <c r="M2079" s="34">
        <v>531510</v>
      </c>
      <c r="N2079" s="2" t="s">
        <v>1444</v>
      </c>
      <c r="O2079" s="2" t="s">
        <v>183</v>
      </c>
      <c r="P2079" s="2" t="str">
        <f t="shared" si="35"/>
        <v>531510-ACTIVIDADES CULTURALES Y CIVICAS-SUBCUENTA</v>
      </c>
    </row>
    <row r="2080" spans="13:16" x14ac:dyDescent="0.25">
      <c r="M2080" s="34">
        <v>531515</v>
      </c>
      <c r="N2080" s="2" t="s">
        <v>1445</v>
      </c>
      <c r="O2080" s="2" t="s">
        <v>183</v>
      </c>
      <c r="P2080" s="2" t="str">
        <f t="shared" si="35"/>
        <v>531515-COSTOS Y GASTOS DE EJERCICIOS ANTERIORES-SUBCUENTA</v>
      </c>
    </row>
    <row r="2081" spans="13:16" x14ac:dyDescent="0.25">
      <c r="M2081" s="34">
        <v>531520</v>
      </c>
      <c r="N2081" s="2" t="s">
        <v>1446</v>
      </c>
      <c r="O2081" s="2" t="s">
        <v>183</v>
      </c>
      <c r="P2081" s="2" t="str">
        <f t="shared" si="35"/>
        <v>531520-IMPUESTOS ASUMIDOS-SUBCUENTA</v>
      </c>
    </row>
    <row r="2082" spans="13:16" x14ac:dyDescent="0.25">
      <c r="M2082" s="34">
        <v>531595</v>
      </c>
      <c r="N2082" s="2" t="s">
        <v>323</v>
      </c>
      <c r="O2082" s="2" t="s">
        <v>183</v>
      </c>
      <c r="P2082" s="2" t="str">
        <f t="shared" si="35"/>
        <v>531595-OTROS-SUBCUENTA</v>
      </c>
    </row>
    <row r="2083" spans="13:16" x14ac:dyDescent="0.25">
      <c r="M2083" s="34">
        <v>531599</v>
      </c>
      <c r="N2083" s="2" t="s">
        <v>367</v>
      </c>
      <c r="O2083" s="2" t="s">
        <v>183</v>
      </c>
      <c r="P2083" s="2" t="str">
        <f t="shared" si="35"/>
        <v>531599-AJUSTES POR INFLACION-SUBCUENTA</v>
      </c>
    </row>
    <row r="2084" spans="13:16" x14ac:dyDescent="0.25">
      <c r="M2084" s="34">
        <v>5395</v>
      </c>
      <c r="N2084" s="2" t="s">
        <v>1447</v>
      </c>
      <c r="O2084" s="2" t="s">
        <v>182</v>
      </c>
      <c r="P2084" s="2" t="str">
        <f t="shared" si="35"/>
        <v>5395-GASTOS DIVERSOS-CUENTA</v>
      </c>
    </row>
    <row r="2085" spans="13:16" x14ac:dyDescent="0.25">
      <c r="M2085" s="34">
        <v>539505</v>
      </c>
      <c r="N2085" s="2" t="s">
        <v>1448</v>
      </c>
      <c r="O2085" s="2" t="s">
        <v>183</v>
      </c>
      <c r="P2085" s="2" t="str">
        <f t="shared" si="35"/>
        <v>539505-DEMANDAS LABORALES-SUBCUENTA</v>
      </c>
    </row>
    <row r="2086" spans="13:16" x14ac:dyDescent="0.25">
      <c r="M2086" s="34">
        <v>539510</v>
      </c>
      <c r="N2086" s="2" t="s">
        <v>1449</v>
      </c>
      <c r="O2086" s="2" t="s">
        <v>183</v>
      </c>
      <c r="P2086" s="2" t="str">
        <f t="shared" si="35"/>
        <v>539510-DEMANDAS POR INCUMPLIMIENTO DE CONTRATOS-SUBCUENTA</v>
      </c>
    </row>
    <row r="2087" spans="13:16" x14ac:dyDescent="0.25">
      <c r="M2087" s="34">
        <v>539515</v>
      </c>
      <c r="N2087" s="2" t="s">
        <v>886</v>
      </c>
      <c r="O2087" s="2" t="s">
        <v>183</v>
      </c>
      <c r="P2087" s="2" t="str">
        <f t="shared" si="35"/>
        <v>539515-INDEMNIZACIONES-SUBCUENTA</v>
      </c>
    </row>
    <row r="2088" spans="13:16" x14ac:dyDescent="0.25">
      <c r="M2088" s="34">
        <v>539520</v>
      </c>
      <c r="N2088" s="2" t="s">
        <v>1450</v>
      </c>
      <c r="O2088" s="2" t="s">
        <v>183</v>
      </c>
      <c r="P2088" s="2" t="str">
        <f t="shared" si="35"/>
        <v>539520-MULTAS, SANCIONES Y LITIGIOS-SUBCUENTA</v>
      </c>
    </row>
    <row r="2089" spans="13:16" x14ac:dyDescent="0.25">
      <c r="M2089" s="34">
        <v>539525</v>
      </c>
      <c r="N2089" s="2" t="s">
        <v>922</v>
      </c>
      <c r="O2089" s="2" t="s">
        <v>183</v>
      </c>
      <c r="P2089" s="2" t="str">
        <f t="shared" si="35"/>
        <v>539525-DONACIONES-SUBCUENTA</v>
      </c>
    </row>
    <row r="2090" spans="13:16" x14ac:dyDescent="0.25">
      <c r="M2090" s="34">
        <v>539530</v>
      </c>
      <c r="N2090" s="2" t="s">
        <v>1451</v>
      </c>
      <c r="O2090" s="2" t="s">
        <v>183</v>
      </c>
      <c r="P2090" s="2" t="str">
        <f t="shared" si="35"/>
        <v>539530-CONSTITUCION DE GARANTIAS-SUBCUENTA</v>
      </c>
    </row>
    <row r="2091" spans="13:16" x14ac:dyDescent="0.25">
      <c r="M2091" s="34">
        <v>539535</v>
      </c>
      <c r="N2091" s="2" t="s">
        <v>1452</v>
      </c>
      <c r="O2091" s="2" t="s">
        <v>183</v>
      </c>
      <c r="P2091" s="2" t="str">
        <f t="shared" si="35"/>
        <v>539535-AMORTIZACION DE BIENES ENTREGADOS EN COMODATO-SUBCUENTA</v>
      </c>
    </row>
    <row r="2092" spans="13:16" x14ac:dyDescent="0.25">
      <c r="M2092" s="34">
        <v>539595</v>
      </c>
      <c r="N2092" s="2" t="s">
        <v>323</v>
      </c>
      <c r="O2092" s="2" t="s">
        <v>183</v>
      </c>
      <c r="P2092" s="2" t="str">
        <f t="shared" si="35"/>
        <v>539595-OTROS-SUBCUENTA</v>
      </c>
    </row>
    <row r="2093" spans="13:16" x14ac:dyDescent="0.25">
      <c r="M2093" s="34">
        <v>539599</v>
      </c>
      <c r="N2093" s="2" t="s">
        <v>367</v>
      </c>
      <c r="O2093" s="2" t="s">
        <v>183</v>
      </c>
      <c r="P2093" s="2" t="str">
        <f t="shared" si="35"/>
        <v>539599-AJUSTES POR INFLACION-SUBCUENTA</v>
      </c>
    </row>
    <row r="2094" spans="13:16" x14ac:dyDescent="0.25">
      <c r="M2094" s="34">
        <v>54</v>
      </c>
      <c r="N2094" s="2" t="s">
        <v>1453</v>
      </c>
      <c r="O2094" s="2" t="s">
        <v>181</v>
      </c>
      <c r="P2094" s="2" t="str">
        <f t="shared" si="35"/>
        <v>54-IMPUESTO DE RENTA Y COMPLEMENTARIOS-GRUPO</v>
      </c>
    </row>
    <row r="2095" spans="13:16" x14ac:dyDescent="0.25">
      <c r="M2095" s="34">
        <v>5405</v>
      </c>
      <c r="N2095" s="2" t="s">
        <v>1453</v>
      </c>
      <c r="O2095" s="2" t="s">
        <v>182</v>
      </c>
      <c r="P2095" s="2" t="str">
        <f t="shared" si="35"/>
        <v>5405-IMPUESTO DE RENTA Y COMPLEMENTARIOS-CUENTA</v>
      </c>
    </row>
    <row r="2096" spans="13:16" x14ac:dyDescent="0.25">
      <c r="M2096" s="34">
        <v>540505</v>
      </c>
      <c r="N2096" s="2" t="s">
        <v>1453</v>
      </c>
      <c r="O2096" s="2" t="s">
        <v>183</v>
      </c>
      <c r="P2096" s="2" t="str">
        <f t="shared" si="35"/>
        <v>540505-IMPUESTO DE RENTA Y COMPLEMENTARIOS-SUBCUENTA</v>
      </c>
    </row>
    <row r="2097" spans="13:16" x14ac:dyDescent="0.25">
      <c r="M2097" s="34">
        <v>59</v>
      </c>
      <c r="N2097" s="2" t="s">
        <v>1454</v>
      </c>
      <c r="O2097" s="2" t="s">
        <v>181</v>
      </c>
      <c r="P2097" s="2" t="str">
        <f t="shared" si="35"/>
        <v>59-GANANCIAS Y PERDIDAS-GRUPO</v>
      </c>
    </row>
    <row r="2098" spans="13:16" x14ac:dyDescent="0.25">
      <c r="M2098" s="34">
        <v>5905</v>
      </c>
      <c r="N2098" s="2" t="s">
        <v>1454</v>
      </c>
      <c r="O2098" s="2" t="s">
        <v>182</v>
      </c>
      <c r="P2098" s="2" t="str">
        <f t="shared" si="35"/>
        <v>5905-GANANCIAS Y PERDIDAS-CUENTA</v>
      </c>
    </row>
    <row r="2099" spans="13:16" x14ac:dyDescent="0.25">
      <c r="M2099" s="34">
        <v>590505</v>
      </c>
      <c r="N2099" s="2" t="s">
        <v>1454</v>
      </c>
      <c r="O2099" s="2" t="s">
        <v>183</v>
      </c>
      <c r="P2099" s="2" t="str">
        <f t="shared" si="35"/>
        <v>590505-GANANCIAS Y PERDIDAS-SUBCUENTA</v>
      </c>
    </row>
    <row r="2100" spans="13:16" x14ac:dyDescent="0.25">
      <c r="M2100" s="34">
        <v>6</v>
      </c>
      <c r="N2100" s="2" t="s">
        <v>1455</v>
      </c>
      <c r="O2100" s="2" t="s">
        <v>180</v>
      </c>
      <c r="P2100" s="2" t="str">
        <f t="shared" si="35"/>
        <v>6-COSTOS DE VENTAS-CLASE</v>
      </c>
    </row>
    <row r="2101" spans="13:16" x14ac:dyDescent="0.25">
      <c r="M2101" s="34">
        <v>61</v>
      </c>
      <c r="N2101" s="2" t="s">
        <v>1456</v>
      </c>
      <c r="O2101" s="2" t="s">
        <v>181</v>
      </c>
      <c r="P2101" s="2" t="str">
        <f t="shared" si="35"/>
        <v>61-COSTO DE VENTAS Y DE PRESTACION DE SERVICIOS-GRUPO</v>
      </c>
    </row>
    <row r="2102" spans="13:16" x14ac:dyDescent="0.25">
      <c r="M2102" s="34">
        <v>6105</v>
      </c>
      <c r="N2102" s="2" t="s">
        <v>972</v>
      </c>
      <c r="O2102" s="2" t="s">
        <v>182</v>
      </c>
      <c r="P2102" s="2" t="str">
        <f t="shared" si="35"/>
        <v>6105-AGRICULTURA, GANADERIA, CAZA Y SILVICULTURA-CUENTA</v>
      </c>
    </row>
    <row r="2103" spans="13:16" x14ac:dyDescent="0.25">
      <c r="M2103" s="34">
        <v>610505</v>
      </c>
      <c r="N2103" s="2" t="s">
        <v>973</v>
      </c>
      <c r="O2103" s="2" t="s">
        <v>183</v>
      </c>
      <c r="P2103" s="2" t="str">
        <f t="shared" si="35"/>
        <v>610505-CULTIVO DE CEREALES-SUBCUENTA</v>
      </c>
    </row>
    <row r="2104" spans="13:16" x14ac:dyDescent="0.25">
      <c r="M2104" s="34">
        <v>610510</v>
      </c>
      <c r="N2104" s="2" t="s">
        <v>974</v>
      </c>
      <c r="O2104" s="2" t="s">
        <v>183</v>
      </c>
      <c r="P2104" s="2" t="str">
        <f t="shared" si="35"/>
        <v>610510-CULTIVOS DE HORTALIZAS, LEGUMBRES Y PLANTAS ORNAMENTALES-SUBCUENTA</v>
      </c>
    </row>
    <row r="2105" spans="13:16" x14ac:dyDescent="0.25">
      <c r="M2105" s="34">
        <v>610515</v>
      </c>
      <c r="N2105" s="2" t="s">
        <v>975</v>
      </c>
      <c r="O2105" s="2" t="s">
        <v>183</v>
      </c>
      <c r="P2105" s="2" t="str">
        <f t="shared" si="35"/>
        <v>610515-CULTIVOS DE FRUTAS, NUECES Y PLANTAS AROMATICAS-SUBCUENTA</v>
      </c>
    </row>
    <row r="2106" spans="13:16" x14ac:dyDescent="0.25">
      <c r="M2106" s="34">
        <v>610520</v>
      </c>
      <c r="N2106" s="2" t="s">
        <v>976</v>
      </c>
      <c r="O2106" s="2" t="s">
        <v>183</v>
      </c>
      <c r="P2106" s="2" t="str">
        <f t="shared" si="35"/>
        <v>610520-CULTIVO DE CAFE-SUBCUENTA</v>
      </c>
    </row>
    <row r="2107" spans="13:16" x14ac:dyDescent="0.25">
      <c r="M2107" s="34">
        <v>610525</v>
      </c>
      <c r="N2107" s="2" t="s">
        <v>977</v>
      </c>
      <c r="O2107" s="2" t="s">
        <v>183</v>
      </c>
      <c r="P2107" s="2" t="str">
        <f t="shared" si="35"/>
        <v>610525-CULTIVO DE FLORES-SUBCUENTA</v>
      </c>
    </row>
    <row r="2108" spans="13:16" x14ac:dyDescent="0.25">
      <c r="M2108" s="34">
        <v>610530</v>
      </c>
      <c r="N2108" s="2" t="s">
        <v>978</v>
      </c>
      <c r="O2108" s="2" t="s">
        <v>183</v>
      </c>
      <c r="P2108" s="2" t="str">
        <f t="shared" si="35"/>
        <v>610530-CULTIVO DE CAÑA DE AZUCAR-SUBCUENTA</v>
      </c>
    </row>
    <row r="2109" spans="13:16" x14ac:dyDescent="0.25">
      <c r="M2109" s="34">
        <v>610535</v>
      </c>
      <c r="N2109" s="2" t="s">
        <v>979</v>
      </c>
      <c r="O2109" s="2" t="s">
        <v>183</v>
      </c>
      <c r="P2109" s="2" t="str">
        <f t="shared" si="35"/>
        <v>610535-CULTIVO DE ALGODON Y PLANTAS PARA MATERIAL TEXTIL-SUBCUENTA</v>
      </c>
    </row>
    <row r="2110" spans="13:16" x14ac:dyDescent="0.25">
      <c r="M2110" s="34">
        <v>610540</v>
      </c>
      <c r="N2110" s="2" t="s">
        <v>980</v>
      </c>
      <c r="O2110" s="2" t="s">
        <v>183</v>
      </c>
      <c r="P2110" s="2" t="str">
        <f t="shared" si="35"/>
        <v>610540-CULTIVO DE BANANO-SUBCUENTA</v>
      </c>
    </row>
    <row r="2111" spans="13:16" x14ac:dyDescent="0.25">
      <c r="M2111" s="34">
        <v>610545</v>
      </c>
      <c r="N2111" s="2" t="s">
        <v>981</v>
      </c>
      <c r="O2111" s="2" t="s">
        <v>183</v>
      </c>
      <c r="P2111" s="2" t="str">
        <f t="shared" si="35"/>
        <v>610545-OTROS CULTIVOS AGRICOLAS-SUBCUENTA</v>
      </c>
    </row>
    <row r="2112" spans="13:16" x14ac:dyDescent="0.25">
      <c r="M2112" s="34">
        <v>610550</v>
      </c>
      <c r="N2112" s="2" t="s">
        <v>982</v>
      </c>
      <c r="O2112" s="2" t="s">
        <v>183</v>
      </c>
      <c r="P2112" s="2" t="str">
        <f t="shared" si="35"/>
        <v>610550-CRIA DE OVEJAS, CABRAS, ASNOS, MULAS Y BURDEGANOS-SUBCUENTA</v>
      </c>
    </row>
    <row r="2113" spans="13:16" x14ac:dyDescent="0.25">
      <c r="M2113" s="34">
        <v>610555</v>
      </c>
      <c r="N2113" s="2" t="s">
        <v>983</v>
      </c>
      <c r="O2113" s="2" t="s">
        <v>183</v>
      </c>
      <c r="P2113" s="2" t="str">
        <f t="shared" si="35"/>
        <v>610555-CRIA DE GANADO CABALLAR Y VACUNO.-SUBCUENTA</v>
      </c>
    </row>
    <row r="2114" spans="13:16" x14ac:dyDescent="0.25">
      <c r="M2114" s="34">
        <v>610560</v>
      </c>
      <c r="N2114" s="2" t="s">
        <v>984</v>
      </c>
      <c r="O2114" s="2" t="s">
        <v>183</v>
      </c>
      <c r="P2114" s="2" t="str">
        <f t="shared" si="35"/>
        <v>610560-PRODUCCION AVICOLA-SUBCUENTA</v>
      </c>
    </row>
    <row r="2115" spans="13:16" x14ac:dyDescent="0.25">
      <c r="M2115" s="34">
        <v>610565</v>
      </c>
      <c r="N2115" s="2" t="s">
        <v>985</v>
      </c>
      <c r="O2115" s="2" t="s">
        <v>183</v>
      </c>
      <c r="P2115" s="2" t="str">
        <f t="shared" si="35"/>
        <v>610565-CRIA DE OTROS ANIMALES-SUBCUENTA</v>
      </c>
    </row>
    <row r="2116" spans="13:16" x14ac:dyDescent="0.25">
      <c r="M2116" s="34">
        <v>610570</v>
      </c>
      <c r="N2116" s="2" t="s">
        <v>986</v>
      </c>
      <c r="O2116" s="2" t="s">
        <v>183</v>
      </c>
      <c r="P2116" s="2" t="str">
        <f t="shared" ref="P2116:P2179" si="36">IF(AND(M2116&lt;&gt;"",N2116&lt;&gt;"",O2116&lt;&gt;""),M2116&amp;"-"&amp;N2116&amp;"-"&amp;O2116,IF(AND(M2116="",N2116&lt;&gt;"",O2116&lt;&gt;""),N2116&amp;"-"&amp;O2116,IF(AND(M2116&lt;&gt;"",N2116="",O2116&lt;&gt;""),M2116&amp;"-"&amp;O2116,IF(AND(M2116&lt;&gt;"",N2116&lt;&gt;"",O2116=""),M2116&amp;"-"&amp;N2116,IF(AND(M2116&lt;&gt;"",N2116="",O2116=""),M2116,"")))))</f>
        <v>610570-SERVICIOS AGRICOLAS Y GANADEROS-SUBCUENTA</v>
      </c>
    </row>
    <row r="2117" spans="13:16" x14ac:dyDescent="0.25">
      <c r="M2117" s="34">
        <v>610575</v>
      </c>
      <c r="N2117" s="2" t="s">
        <v>987</v>
      </c>
      <c r="O2117" s="2" t="s">
        <v>183</v>
      </c>
      <c r="P2117" s="2" t="str">
        <f t="shared" si="36"/>
        <v>610575-ACTIVIDAD DE CAZA-SUBCUENTA</v>
      </c>
    </row>
    <row r="2118" spans="13:16" x14ac:dyDescent="0.25">
      <c r="M2118" s="34">
        <v>610580</v>
      </c>
      <c r="N2118" s="2" t="s">
        <v>988</v>
      </c>
      <c r="O2118" s="2" t="s">
        <v>183</v>
      </c>
      <c r="P2118" s="2" t="str">
        <f t="shared" si="36"/>
        <v>610580-ACTIVIDAD DE SILVICULTURA-SUBCUENTA</v>
      </c>
    </row>
    <row r="2119" spans="13:16" x14ac:dyDescent="0.25">
      <c r="M2119" s="34">
        <v>610599</v>
      </c>
      <c r="N2119" s="2" t="s">
        <v>367</v>
      </c>
      <c r="O2119" s="2" t="s">
        <v>183</v>
      </c>
      <c r="P2119" s="2" t="str">
        <f t="shared" si="36"/>
        <v>610599-AJUSTES POR INFLACION-SUBCUENTA</v>
      </c>
    </row>
    <row r="2120" spans="13:16" x14ac:dyDescent="0.25">
      <c r="M2120" s="34">
        <v>6110</v>
      </c>
      <c r="N2120" s="2" t="s">
        <v>989</v>
      </c>
      <c r="O2120" s="2" t="s">
        <v>182</v>
      </c>
      <c r="P2120" s="2" t="str">
        <f t="shared" si="36"/>
        <v>6110-PESCA-CUENTA</v>
      </c>
    </row>
    <row r="2121" spans="13:16" x14ac:dyDescent="0.25">
      <c r="M2121" s="34">
        <v>611005</v>
      </c>
      <c r="N2121" s="2" t="s">
        <v>990</v>
      </c>
      <c r="O2121" s="2" t="s">
        <v>183</v>
      </c>
      <c r="P2121" s="2" t="str">
        <f t="shared" si="36"/>
        <v>611005-ACTIVIDAD DE PESCA-SUBCUENTA</v>
      </c>
    </row>
    <row r="2122" spans="13:16" x14ac:dyDescent="0.25">
      <c r="M2122" s="34">
        <v>611010</v>
      </c>
      <c r="N2122" s="2" t="s">
        <v>991</v>
      </c>
      <c r="O2122" s="2" t="s">
        <v>183</v>
      </c>
      <c r="P2122" s="2" t="str">
        <f t="shared" si="36"/>
        <v>611010-EXPLOTACION DE CRIADEROS DE PECES-SUBCUENTA</v>
      </c>
    </row>
    <row r="2123" spans="13:16" x14ac:dyDescent="0.25">
      <c r="M2123" s="34">
        <v>611095</v>
      </c>
      <c r="N2123" s="2" t="s">
        <v>992</v>
      </c>
      <c r="O2123" s="2" t="s">
        <v>183</v>
      </c>
      <c r="P2123" s="2" t="str">
        <f t="shared" si="36"/>
        <v>611095-ACTIVIDADES CONEXAS-SUBCUENTA</v>
      </c>
    </row>
    <row r="2124" spans="13:16" x14ac:dyDescent="0.25">
      <c r="M2124" s="34">
        <v>611099</v>
      </c>
      <c r="N2124" s="2" t="s">
        <v>367</v>
      </c>
      <c r="O2124" s="2" t="s">
        <v>183</v>
      </c>
      <c r="P2124" s="2" t="str">
        <f t="shared" si="36"/>
        <v>611099-AJUSTES POR INFLACION-SUBCUENTA</v>
      </c>
    </row>
    <row r="2125" spans="13:16" x14ac:dyDescent="0.25">
      <c r="M2125" s="34">
        <v>6115</v>
      </c>
      <c r="N2125" s="2" t="s">
        <v>993</v>
      </c>
      <c r="O2125" s="2" t="s">
        <v>182</v>
      </c>
      <c r="P2125" s="2" t="str">
        <f t="shared" si="36"/>
        <v>6115-EXPLOTACION DE MINAS Y CANTERAS-CUENTA</v>
      </c>
    </row>
    <row r="2126" spans="13:16" x14ac:dyDescent="0.25">
      <c r="M2126" s="34">
        <v>611505</v>
      </c>
      <c r="N2126" s="2" t="s">
        <v>994</v>
      </c>
      <c r="O2126" s="2" t="s">
        <v>183</v>
      </c>
      <c r="P2126" s="2" t="str">
        <f t="shared" si="36"/>
        <v>611505-CARBON-SUBCUENTA</v>
      </c>
    </row>
    <row r="2127" spans="13:16" x14ac:dyDescent="0.25">
      <c r="M2127" s="34">
        <v>611510</v>
      </c>
      <c r="N2127" s="2" t="s">
        <v>995</v>
      </c>
      <c r="O2127" s="2" t="s">
        <v>183</v>
      </c>
      <c r="P2127" s="2" t="str">
        <f t="shared" si="36"/>
        <v>611510-PETROLEO CRUDO-SUBCUENTA</v>
      </c>
    </row>
    <row r="2128" spans="13:16" x14ac:dyDescent="0.25">
      <c r="M2128" s="34">
        <v>611512</v>
      </c>
      <c r="N2128" s="2" t="s">
        <v>996</v>
      </c>
      <c r="O2128" s="2" t="s">
        <v>183</v>
      </c>
      <c r="P2128" s="2" t="str">
        <f t="shared" si="36"/>
        <v>611512-GAS NATURAL-SUBCUENTA</v>
      </c>
    </row>
    <row r="2129" spans="13:16" x14ac:dyDescent="0.25">
      <c r="M2129" s="34">
        <v>611514</v>
      </c>
      <c r="N2129" s="2" t="s">
        <v>997</v>
      </c>
      <c r="O2129" s="2" t="s">
        <v>183</v>
      </c>
      <c r="P2129" s="2" t="str">
        <f t="shared" si="36"/>
        <v>611514-SERVICIOS RELACIONADOS CON EXTRACCION DE PETROLEO Y GAS-SUBCUENTA</v>
      </c>
    </row>
    <row r="2130" spans="13:16" x14ac:dyDescent="0.25">
      <c r="M2130" s="34">
        <v>611515</v>
      </c>
      <c r="N2130" s="2" t="s">
        <v>998</v>
      </c>
      <c r="O2130" s="2" t="s">
        <v>183</v>
      </c>
      <c r="P2130" s="2" t="str">
        <f t="shared" si="36"/>
        <v>611515-MINERALES DE HIERRO-SUBCUENTA</v>
      </c>
    </row>
    <row r="2131" spans="13:16" x14ac:dyDescent="0.25">
      <c r="M2131" s="34">
        <v>611520</v>
      </c>
      <c r="N2131" s="2" t="s">
        <v>999</v>
      </c>
      <c r="O2131" s="2" t="s">
        <v>183</v>
      </c>
      <c r="P2131" s="2" t="str">
        <f t="shared" si="36"/>
        <v>611520-MINERALES METALIFEROS NO FERROSOS-SUBCUENTA</v>
      </c>
    </row>
    <row r="2132" spans="13:16" x14ac:dyDescent="0.25">
      <c r="M2132" s="34">
        <v>611525</v>
      </c>
      <c r="N2132" s="2" t="s">
        <v>1000</v>
      </c>
      <c r="O2132" s="2" t="s">
        <v>183</v>
      </c>
      <c r="P2132" s="2" t="str">
        <f t="shared" si="36"/>
        <v>611525-PIEDRA, ARENA Y ARCILLA-SUBCUENTA</v>
      </c>
    </row>
    <row r="2133" spans="13:16" x14ac:dyDescent="0.25">
      <c r="M2133" s="34">
        <v>611527</v>
      </c>
      <c r="N2133" s="2" t="s">
        <v>1001</v>
      </c>
      <c r="O2133" s="2" t="s">
        <v>183</v>
      </c>
      <c r="P2133" s="2" t="str">
        <f t="shared" si="36"/>
        <v>611527-PIEDRAS PRECIOSAS-SUBCUENTA</v>
      </c>
    </row>
    <row r="2134" spans="13:16" x14ac:dyDescent="0.25">
      <c r="M2134" s="34">
        <v>611528</v>
      </c>
      <c r="N2134" s="2" t="s">
        <v>1002</v>
      </c>
      <c r="O2134" s="2" t="s">
        <v>183</v>
      </c>
      <c r="P2134" s="2" t="str">
        <f t="shared" si="36"/>
        <v>611528-ORO-SUBCUENTA</v>
      </c>
    </row>
    <row r="2135" spans="13:16" x14ac:dyDescent="0.25">
      <c r="M2135" s="34">
        <v>611530</v>
      </c>
      <c r="N2135" s="2" t="s">
        <v>1003</v>
      </c>
      <c r="O2135" s="2" t="s">
        <v>183</v>
      </c>
      <c r="P2135" s="2" t="str">
        <f t="shared" si="36"/>
        <v>611530-OTRAS MINAS Y CANTERAS-SUBCUENTA</v>
      </c>
    </row>
    <row r="2136" spans="13:16" x14ac:dyDescent="0.25">
      <c r="M2136" s="34">
        <v>611532</v>
      </c>
      <c r="N2136" s="2" t="s">
        <v>1004</v>
      </c>
      <c r="O2136" s="2" t="s">
        <v>183</v>
      </c>
      <c r="P2136" s="2" t="str">
        <f t="shared" si="36"/>
        <v>611532-PRESTACION DE SERVICIOS SECTOR MINERO-SUBCUENTA</v>
      </c>
    </row>
    <row r="2137" spans="13:16" x14ac:dyDescent="0.25">
      <c r="M2137" s="34">
        <v>611595</v>
      </c>
      <c r="N2137" s="2" t="s">
        <v>992</v>
      </c>
      <c r="O2137" s="2" t="s">
        <v>183</v>
      </c>
      <c r="P2137" s="2" t="str">
        <f t="shared" si="36"/>
        <v>611595-ACTIVIDADES CONEXAS-SUBCUENTA</v>
      </c>
    </row>
    <row r="2138" spans="13:16" x14ac:dyDescent="0.25">
      <c r="M2138" s="34">
        <v>611599</v>
      </c>
      <c r="N2138" s="2" t="s">
        <v>367</v>
      </c>
      <c r="O2138" s="2" t="s">
        <v>183</v>
      </c>
      <c r="P2138" s="2" t="str">
        <f t="shared" si="36"/>
        <v>611599-AJUSTES POR INFLACION-SUBCUENTA</v>
      </c>
    </row>
    <row r="2139" spans="13:16" x14ac:dyDescent="0.25">
      <c r="M2139" s="34">
        <v>6120</v>
      </c>
      <c r="N2139" s="2" t="s">
        <v>1005</v>
      </c>
      <c r="O2139" s="2" t="s">
        <v>182</v>
      </c>
      <c r="P2139" s="2" t="str">
        <f t="shared" si="36"/>
        <v>6120-INDUSTRIAS MANUFACTURERAS-CUENTA</v>
      </c>
    </row>
    <row r="2140" spans="13:16" x14ac:dyDescent="0.25">
      <c r="M2140" s="34">
        <v>612001</v>
      </c>
      <c r="N2140" s="2" t="s">
        <v>1006</v>
      </c>
      <c r="O2140" s="2" t="s">
        <v>183</v>
      </c>
      <c r="P2140" s="2" t="str">
        <f t="shared" si="36"/>
        <v>612001-PRODUCCION Y PROCESAMIENTO DE CARNES Y PRODUCTOS CARNICOS-SUBCUENTA</v>
      </c>
    </row>
    <row r="2141" spans="13:16" x14ac:dyDescent="0.25">
      <c r="M2141" s="34">
        <v>612002</v>
      </c>
      <c r="N2141" s="2" t="s">
        <v>1007</v>
      </c>
      <c r="O2141" s="2" t="s">
        <v>183</v>
      </c>
      <c r="P2141" s="2" t="str">
        <f t="shared" si="36"/>
        <v>612002-PRODUCTOS DE PESCADO-SUBCUENTA</v>
      </c>
    </row>
    <row r="2142" spans="13:16" x14ac:dyDescent="0.25">
      <c r="M2142" s="34">
        <v>612003</v>
      </c>
      <c r="N2142" s="2" t="s">
        <v>1008</v>
      </c>
      <c r="O2142" s="2" t="s">
        <v>183</v>
      </c>
      <c r="P2142" s="2" t="str">
        <f t="shared" si="36"/>
        <v>612003-PRODUCTOS DE FRUTAS, LEGUMBRES Y HORTALIZAS-SUBCUENTA</v>
      </c>
    </row>
    <row r="2143" spans="13:16" x14ac:dyDescent="0.25">
      <c r="M2143" s="34">
        <v>612004</v>
      </c>
      <c r="N2143" s="2" t="s">
        <v>1009</v>
      </c>
      <c r="O2143" s="2" t="s">
        <v>183</v>
      </c>
      <c r="P2143" s="2" t="str">
        <f t="shared" si="36"/>
        <v>612004-ELABORACION DE ACEITES Y GRASAS-SUBCUENTA</v>
      </c>
    </row>
    <row r="2144" spans="13:16" x14ac:dyDescent="0.25">
      <c r="M2144" s="34">
        <v>612005</v>
      </c>
      <c r="N2144" s="2" t="s">
        <v>1010</v>
      </c>
      <c r="O2144" s="2" t="s">
        <v>183</v>
      </c>
      <c r="P2144" s="2" t="str">
        <f t="shared" si="36"/>
        <v>612005-ELABORACION DE PRODUCTOS LACTEOS-SUBCUENTA</v>
      </c>
    </row>
    <row r="2145" spans="13:16" x14ac:dyDescent="0.25">
      <c r="M2145" s="34">
        <v>612006</v>
      </c>
      <c r="N2145" s="2" t="s">
        <v>1011</v>
      </c>
      <c r="O2145" s="2" t="s">
        <v>183</v>
      </c>
      <c r="P2145" s="2" t="str">
        <f t="shared" si="36"/>
        <v>612006-ELABORACION DE PRODUCTOS DE MOLINERIA-SUBCUENTA</v>
      </c>
    </row>
    <row r="2146" spans="13:16" x14ac:dyDescent="0.25">
      <c r="M2146" s="34">
        <v>612007</v>
      </c>
      <c r="N2146" s="2" t="s">
        <v>1012</v>
      </c>
      <c r="O2146" s="2" t="s">
        <v>183</v>
      </c>
      <c r="P2146" s="2" t="str">
        <f t="shared" si="36"/>
        <v>612007-ELABORACION DE ALMIDONES Y DERIVADOS-SUBCUENTA</v>
      </c>
    </row>
    <row r="2147" spans="13:16" x14ac:dyDescent="0.25">
      <c r="M2147" s="34">
        <v>612008</v>
      </c>
      <c r="N2147" s="2" t="s">
        <v>1013</v>
      </c>
      <c r="O2147" s="2" t="s">
        <v>183</v>
      </c>
      <c r="P2147" s="2" t="str">
        <f t="shared" si="36"/>
        <v>612008-ELABORACION DE ALIMENTOS PARA ANIMALES-SUBCUENTA</v>
      </c>
    </row>
    <row r="2148" spans="13:16" x14ac:dyDescent="0.25">
      <c r="M2148" s="34">
        <v>612009</v>
      </c>
      <c r="N2148" s="2" t="s">
        <v>1014</v>
      </c>
      <c r="O2148" s="2" t="s">
        <v>183</v>
      </c>
      <c r="P2148" s="2" t="str">
        <f t="shared" si="36"/>
        <v>612009-ELABORACION DE PRODUCTOS PARA PANADERIA-SUBCUENTA</v>
      </c>
    </row>
    <row r="2149" spans="13:16" x14ac:dyDescent="0.25">
      <c r="M2149" s="34">
        <v>612010</v>
      </c>
      <c r="N2149" s="2" t="s">
        <v>1015</v>
      </c>
      <c r="O2149" s="2" t="s">
        <v>183</v>
      </c>
      <c r="P2149" s="2" t="str">
        <f t="shared" si="36"/>
        <v>612010-ELABORACION DE AZUCAR Y MELAZAS-SUBCUENTA</v>
      </c>
    </row>
    <row r="2150" spans="13:16" x14ac:dyDescent="0.25">
      <c r="M2150" s="34">
        <v>612011</v>
      </c>
      <c r="N2150" s="2" t="s">
        <v>1016</v>
      </c>
      <c r="O2150" s="2" t="s">
        <v>183</v>
      </c>
      <c r="P2150" s="2" t="str">
        <f t="shared" si="36"/>
        <v>612011-ELABORACION DE CACAO, CHOCOLATE Y CONFITERIA-SUBCUENTA</v>
      </c>
    </row>
    <row r="2151" spans="13:16" x14ac:dyDescent="0.25">
      <c r="M2151" s="34">
        <v>612012</v>
      </c>
      <c r="N2151" s="2" t="s">
        <v>1017</v>
      </c>
      <c r="O2151" s="2" t="s">
        <v>183</v>
      </c>
      <c r="P2151" s="2" t="str">
        <f t="shared" si="36"/>
        <v>612012-ELABORACION DE PASTAS Y PRODUCTOS FARINACEOS-SUBCUENTA</v>
      </c>
    </row>
    <row r="2152" spans="13:16" x14ac:dyDescent="0.25">
      <c r="M2152" s="34">
        <v>612013</v>
      </c>
      <c r="N2152" s="2" t="s">
        <v>1018</v>
      </c>
      <c r="O2152" s="2" t="s">
        <v>183</v>
      </c>
      <c r="P2152" s="2" t="str">
        <f t="shared" si="36"/>
        <v>612013-ELABORACION DE PRODUCTOS DE CAFE-SUBCUENTA</v>
      </c>
    </row>
    <row r="2153" spans="13:16" x14ac:dyDescent="0.25">
      <c r="M2153" s="34">
        <v>612014</v>
      </c>
      <c r="N2153" s="2" t="s">
        <v>1019</v>
      </c>
      <c r="O2153" s="2" t="s">
        <v>183</v>
      </c>
      <c r="P2153" s="2" t="str">
        <f t="shared" si="36"/>
        <v>612014-ELABORACION DE OTROS PRODUCTOS ALIMENTICIOS-SUBCUENTA</v>
      </c>
    </row>
    <row r="2154" spans="13:16" x14ac:dyDescent="0.25">
      <c r="M2154" s="34">
        <v>612015</v>
      </c>
      <c r="N2154" s="2" t="s">
        <v>1020</v>
      </c>
      <c r="O2154" s="2" t="s">
        <v>183</v>
      </c>
      <c r="P2154" s="2" t="str">
        <f t="shared" si="36"/>
        <v>612015-ELABORACION DE BEBIDAS ALCOHOLICAS Y ALCOHOL ETILICO-SUBCUENTA</v>
      </c>
    </row>
    <row r="2155" spans="13:16" x14ac:dyDescent="0.25">
      <c r="M2155" s="34">
        <v>612016</v>
      </c>
      <c r="N2155" s="2" t="s">
        <v>1021</v>
      </c>
      <c r="O2155" s="2" t="s">
        <v>183</v>
      </c>
      <c r="P2155" s="2" t="str">
        <f t="shared" si="36"/>
        <v>612016-ELABORACION DE VINOS-SUBCUENTA</v>
      </c>
    </row>
    <row r="2156" spans="13:16" x14ac:dyDescent="0.25">
      <c r="M2156" s="34">
        <v>612017</v>
      </c>
      <c r="N2156" s="2" t="s">
        <v>1022</v>
      </c>
      <c r="O2156" s="2" t="s">
        <v>183</v>
      </c>
      <c r="P2156" s="2" t="str">
        <f t="shared" si="36"/>
        <v>612017-ELABORACION DE BEBIDAS MALTEADAS Y DE MALTA-SUBCUENTA</v>
      </c>
    </row>
    <row r="2157" spans="13:16" x14ac:dyDescent="0.25">
      <c r="M2157" s="34">
        <v>612018</v>
      </c>
      <c r="N2157" s="2" t="s">
        <v>1023</v>
      </c>
      <c r="O2157" s="2" t="s">
        <v>183</v>
      </c>
      <c r="P2157" s="2" t="str">
        <f t="shared" si="36"/>
        <v>612018-ELABORACION DE BEBIDAS NO ALCOHOLICAS-SUBCUENTA</v>
      </c>
    </row>
    <row r="2158" spans="13:16" x14ac:dyDescent="0.25">
      <c r="M2158" s="34">
        <v>612019</v>
      </c>
      <c r="N2158" s="2" t="s">
        <v>1024</v>
      </c>
      <c r="O2158" s="2" t="s">
        <v>183</v>
      </c>
      <c r="P2158" s="2" t="str">
        <f t="shared" si="36"/>
        <v>612019-ELABORACION DE PRODUCTOS DE TABACO-SUBCUENTA</v>
      </c>
    </row>
    <row r="2159" spans="13:16" x14ac:dyDescent="0.25">
      <c r="M2159" s="34">
        <v>612020</v>
      </c>
      <c r="N2159" s="2" t="s">
        <v>1025</v>
      </c>
      <c r="O2159" s="2" t="s">
        <v>183</v>
      </c>
      <c r="P2159" s="2" t="str">
        <f t="shared" si="36"/>
        <v>612020-PREPARACION E HILATURA DE FIBRAS TEXTILES Y TEJEDURIA-SUBCUENTA</v>
      </c>
    </row>
    <row r="2160" spans="13:16" x14ac:dyDescent="0.25">
      <c r="M2160" s="34">
        <v>612021</v>
      </c>
      <c r="N2160" s="2" t="s">
        <v>1026</v>
      </c>
      <c r="O2160" s="2" t="s">
        <v>183</v>
      </c>
      <c r="P2160" s="2" t="str">
        <f t="shared" si="36"/>
        <v>612021-ACABADO DE PRODUCTOS TEXTILES-SUBCUENTA</v>
      </c>
    </row>
    <row r="2161" spans="13:16" x14ac:dyDescent="0.25">
      <c r="M2161" s="34">
        <v>612022</v>
      </c>
      <c r="N2161" s="2" t="s">
        <v>1027</v>
      </c>
      <c r="O2161" s="2" t="s">
        <v>183</v>
      </c>
      <c r="P2161" s="2" t="str">
        <f t="shared" si="36"/>
        <v>612022-ELABORACION DE ARTICULOS DE MATERIALES TEXTILES-SUBCUENTA</v>
      </c>
    </row>
    <row r="2162" spans="13:16" x14ac:dyDescent="0.25">
      <c r="M2162" s="34">
        <v>612023</v>
      </c>
      <c r="N2162" s="2" t="s">
        <v>1028</v>
      </c>
      <c r="O2162" s="2" t="s">
        <v>183</v>
      </c>
      <c r="P2162" s="2" t="str">
        <f t="shared" si="36"/>
        <v>612023-ELABORACION DE TAPICES Y ALFOMBRAS-SUBCUENTA</v>
      </c>
    </row>
    <row r="2163" spans="13:16" x14ac:dyDescent="0.25">
      <c r="M2163" s="34">
        <v>612024</v>
      </c>
      <c r="N2163" s="2" t="s">
        <v>1029</v>
      </c>
      <c r="O2163" s="2" t="s">
        <v>183</v>
      </c>
      <c r="P2163" s="2" t="str">
        <f t="shared" si="36"/>
        <v>612024-ELABORACION DE CUERDAS, CORDELES, BRAMANTES Y REDES-SUBCUENTA</v>
      </c>
    </row>
    <row r="2164" spans="13:16" x14ac:dyDescent="0.25">
      <c r="M2164" s="34">
        <v>612025</v>
      </c>
      <c r="N2164" s="2" t="s">
        <v>1030</v>
      </c>
      <c r="O2164" s="2" t="s">
        <v>183</v>
      </c>
      <c r="P2164" s="2" t="str">
        <f t="shared" si="36"/>
        <v>612025-ELABORACION DE OTROS PRODUCTOS TEXTILES-SUBCUENTA</v>
      </c>
    </row>
    <row r="2165" spans="13:16" x14ac:dyDescent="0.25">
      <c r="M2165" s="34">
        <v>612026</v>
      </c>
      <c r="N2165" s="2" t="s">
        <v>1031</v>
      </c>
      <c r="O2165" s="2" t="s">
        <v>183</v>
      </c>
      <c r="P2165" s="2" t="str">
        <f t="shared" si="36"/>
        <v>612026-ELABORACION DE TEJIDOS-SUBCUENTA</v>
      </c>
    </row>
    <row r="2166" spans="13:16" x14ac:dyDescent="0.25">
      <c r="M2166" s="34">
        <v>612027</v>
      </c>
      <c r="N2166" s="2" t="s">
        <v>1032</v>
      </c>
      <c r="O2166" s="2" t="s">
        <v>183</v>
      </c>
      <c r="P2166" s="2" t="str">
        <f t="shared" si="36"/>
        <v>612027-ELABORACION DE PRENDAS DE VESTIR-SUBCUENTA</v>
      </c>
    </row>
    <row r="2167" spans="13:16" x14ac:dyDescent="0.25">
      <c r="M2167" s="34">
        <v>612028</v>
      </c>
      <c r="N2167" s="2" t="s">
        <v>1033</v>
      </c>
      <c r="O2167" s="2" t="s">
        <v>183</v>
      </c>
      <c r="P2167" s="2" t="str">
        <f t="shared" si="36"/>
        <v>612028-PREPARACION, ADOBO Y TEÑIDO DE PIELES-SUBCUENTA</v>
      </c>
    </row>
    <row r="2168" spans="13:16" x14ac:dyDescent="0.25">
      <c r="M2168" s="34">
        <v>612029</v>
      </c>
      <c r="N2168" s="2" t="s">
        <v>1034</v>
      </c>
      <c r="O2168" s="2" t="s">
        <v>183</v>
      </c>
      <c r="P2168" s="2" t="str">
        <f t="shared" si="36"/>
        <v>612029-CURTIDO, ADOBO O PREPARACION DE CUERO-SUBCUENTA</v>
      </c>
    </row>
    <row r="2169" spans="13:16" x14ac:dyDescent="0.25">
      <c r="M2169" s="34">
        <v>612030</v>
      </c>
      <c r="N2169" s="2" t="s">
        <v>1035</v>
      </c>
      <c r="O2169" s="2" t="s">
        <v>183</v>
      </c>
      <c r="P2169" s="2" t="str">
        <f t="shared" si="36"/>
        <v>612030-ELABORACION DE MALETAS, BOLSOS Y SIMILARES-SUBCUENTA</v>
      </c>
    </row>
    <row r="2170" spans="13:16" x14ac:dyDescent="0.25">
      <c r="M2170" s="34">
        <v>612031</v>
      </c>
      <c r="N2170" s="2" t="s">
        <v>1036</v>
      </c>
      <c r="O2170" s="2" t="s">
        <v>183</v>
      </c>
      <c r="P2170" s="2" t="str">
        <f t="shared" si="36"/>
        <v>612031-ELABORACION DE CALZADO-SUBCUENTA</v>
      </c>
    </row>
    <row r="2171" spans="13:16" x14ac:dyDescent="0.25">
      <c r="M2171" s="34">
        <v>612032</v>
      </c>
      <c r="N2171" s="2" t="s">
        <v>1037</v>
      </c>
      <c r="O2171" s="2" t="s">
        <v>183</v>
      </c>
      <c r="P2171" s="2" t="str">
        <f t="shared" si="36"/>
        <v>612032-PRODUCCION DE MADERA, ARTICULOS DE MADERA Y CORCHO-SUBCUENTA</v>
      </c>
    </row>
    <row r="2172" spans="13:16" x14ac:dyDescent="0.25">
      <c r="M2172" s="34">
        <v>612033</v>
      </c>
      <c r="N2172" s="2" t="s">
        <v>1038</v>
      </c>
      <c r="O2172" s="2" t="s">
        <v>183</v>
      </c>
      <c r="P2172" s="2" t="str">
        <f t="shared" si="36"/>
        <v>612033-ELABORACION DE PASTA Y PRODUCTOS DE MADERA, PAPEL Y CARTON-SUBCUENTA</v>
      </c>
    </row>
    <row r="2173" spans="13:16" x14ac:dyDescent="0.25">
      <c r="M2173" s="34">
        <v>612034</v>
      </c>
      <c r="N2173" s="2" t="s">
        <v>1039</v>
      </c>
      <c r="O2173" s="2" t="s">
        <v>183</v>
      </c>
      <c r="P2173" s="2" t="str">
        <f t="shared" si="36"/>
        <v>612034-EDICIONES Y PUBLICACIONES-SUBCUENTA</v>
      </c>
    </row>
    <row r="2174" spans="13:16" x14ac:dyDescent="0.25">
      <c r="M2174" s="34">
        <v>612035</v>
      </c>
      <c r="N2174" s="2" t="s">
        <v>1040</v>
      </c>
      <c r="O2174" s="2" t="s">
        <v>183</v>
      </c>
      <c r="P2174" s="2" t="str">
        <f t="shared" si="36"/>
        <v>612035-IMPRESION-SUBCUENTA</v>
      </c>
    </row>
    <row r="2175" spans="13:16" x14ac:dyDescent="0.25">
      <c r="M2175" s="34">
        <v>612036</v>
      </c>
      <c r="N2175" s="2" t="s">
        <v>1041</v>
      </c>
      <c r="O2175" s="2" t="s">
        <v>183</v>
      </c>
      <c r="P2175" s="2" t="str">
        <f t="shared" si="36"/>
        <v>612036-SERVICIOS RELACIONADOS CON LA EDICION Y LA IMPRESION-SUBCUENTA</v>
      </c>
    </row>
    <row r="2176" spans="13:16" x14ac:dyDescent="0.25">
      <c r="M2176" s="34">
        <v>612037</v>
      </c>
      <c r="N2176" s="2" t="s">
        <v>1042</v>
      </c>
      <c r="O2176" s="2" t="s">
        <v>183</v>
      </c>
      <c r="P2176" s="2" t="str">
        <f t="shared" si="36"/>
        <v>612037-REPRODUCCION DE GRABACIONES-SUBCUENTA</v>
      </c>
    </row>
    <row r="2177" spans="13:16" x14ac:dyDescent="0.25">
      <c r="M2177" s="34">
        <v>612038</v>
      </c>
      <c r="N2177" s="2" t="s">
        <v>1043</v>
      </c>
      <c r="O2177" s="2" t="s">
        <v>183</v>
      </c>
      <c r="P2177" s="2" t="str">
        <f t="shared" si="36"/>
        <v>612038-ELABORACION DE PRODUCTOS DE HORNO DE COQUE-SUBCUENTA</v>
      </c>
    </row>
    <row r="2178" spans="13:16" x14ac:dyDescent="0.25">
      <c r="M2178" s="34">
        <v>612039</v>
      </c>
      <c r="N2178" s="2" t="s">
        <v>1044</v>
      </c>
      <c r="O2178" s="2" t="s">
        <v>183</v>
      </c>
      <c r="P2178" s="2" t="str">
        <f t="shared" si="36"/>
        <v>612039-ELABORACION DE PRODUCTOS DE LA REFINACION DE PETROLEO-SUBCUENTA</v>
      </c>
    </row>
    <row r="2179" spans="13:16" x14ac:dyDescent="0.25">
      <c r="M2179" s="34">
        <v>612040</v>
      </c>
      <c r="N2179" s="2" t="s">
        <v>1045</v>
      </c>
      <c r="O2179" s="2" t="s">
        <v>183</v>
      </c>
      <c r="P2179" s="2" t="str">
        <f t="shared" si="36"/>
        <v>612040-ELABORACION DE SUSTANCIAS QUIMICAS BASICAS-SUBCUENTA</v>
      </c>
    </row>
    <row r="2180" spans="13:16" x14ac:dyDescent="0.25">
      <c r="M2180" s="34">
        <v>612041</v>
      </c>
      <c r="N2180" s="2" t="s">
        <v>1046</v>
      </c>
      <c r="O2180" s="2" t="s">
        <v>183</v>
      </c>
      <c r="P2180" s="2" t="str">
        <f t="shared" ref="P2180:P2243" si="37">IF(AND(M2180&lt;&gt;"",N2180&lt;&gt;"",O2180&lt;&gt;""),M2180&amp;"-"&amp;N2180&amp;"-"&amp;O2180,IF(AND(M2180="",N2180&lt;&gt;"",O2180&lt;&gt;""),N2180&amp;"-"&amp;O2180,IF(AND(M2180&lt;&gt;"",N2180="",O2180&lt;&gt;""),M2180&amp;"-"&amp;O2180,IF(AND(M2180&lt;&gt;"",N2180&lt;&gt;"",O2180=""),M2180&amp;"-"&amp;N2180,IF(AND(M2180&lt;&gt;"",N2180="",O2180=""),M2180,"")))))</f>
        <v>612041-ELABORACION DE ABONOS Y COMPUESTOS DE NITROGENO-SUBCUENTA</v>
      </c>
    </row>
    <row r="2181" spans="13:16" x14ac:dyDescent="0.25">
      <c r="M2181" s="34">
        <v>612042</v>
      </c>
      <c r="N2181" s="2" t="s">
        <v>1047</v>
      </c>
      <c r="O2181" s="2" t="s">
        <v>183</v>
      </c>
      <c r="P2181" s="2" t="str">
        <f t="shared" si="37"/>
        <v>612042-ELABORACION DE PLASTICO Y CAUCHO SINTETICO-SUBCUENTA</v>
      </c>
    </row>
    <row r="2182" spans="13:16" x14ac:dyDescent="0.25">
      <c r="M2182" s="34">
        <v>612043</v>
      </c>
      <c r="N2182" s="2" t="s">
        <v>1048</v>
      </c>
      <c r="O2182" s="2" t="s">
        <v>183</v>
      </c>
      <c r="P2182" s="2" t="str">
        <f t="shared" si="37"/>
        <v>612043-ELABORACION DE PRODUCTOS QUIMICOS DE USO AGROPECUARIO-SUBCUENTA</v>
      </c>
    </row>
    <row r="2183" spans="13:16" x14ac:dyDescent="0.25">
      <c r="M2183" s="34">
        <v>612044</v>
      </c>
      <c r="N2183" s="2" t="s">
        <v>1049</v>
      </c>
      <c r="O2183" s="2" t="s">
        <v>183</v>
      </c>
      <c r="P2183" s="2" t="str">
        <f t="shared" si="37"/>
        <v>612044-ELABORACION DE PINTURAS, TINTAS Y MASILLAS-SUBCUENTA</v>
      </c>
    </row>
    <row r="2184" spans="13:16" x14ac:dyDescent="0.25">
      <c r="M2184" s="34">
        <v>612045</v>
      </c>
      <c r="N2184" s="2" t="s">
        <v>1050</v>
      </c>
      <c r="O2184" s="2" t="s">
        <v>183</v>
      </c>
      <c r="P2184" s="2" t="str">
        <f t="shared" si="37"/>
        <v>612045-ELABORACION DE PRODUCTOS FARMACEUTICOS Y BOTANICOS-SUBCUENTA</v>
      </c>
    </row>
    <row r="2185" spans="13:16" x14ac:dyDescent="0.25">
      <c r="M2185" s="34">
        <v>612046</v>
      </c>
      <c r="N2185" s="2" t="s">
        <v>1051</v>
      </c>
      <c r="O2185" s="2" t="s">
        <v>183</v>
      </c>
      <c r="P2185" s="2" t="str">
        <f t="shared" si="37"/>
        <v>612046-ELABORACION DE JABONES, DETERGENTES Y PREPARADOS DE TOCADOR-SUBCUENTA</v>
      </c>
    </row>
    <row r="2186" spans="13:16" x14ac:dyDescent="0.25">
      <c r="M2186" s="34">
        <v>612047</v>
      </c>
      <c r="N2186" s="2" t="s">
        <v>1052</v>
      </c>
      <c r="O2186" s="2" t="s">
        <v>183</v>
      </c>
      <c r="P2186" s="2" t="str">
        <f t="shared" si="37"/>
        <v>612047-ELABORACION DE OTROS PRODUCTOS QUIMICOS-SUBCUENTA</v>
      </c>
    </row>
    <row r="2187" spans="13:16" x14ac:dyDescent="0.25">
      <c r="M2187" s="34">
        <v>612048</v>
      </c>
      <c r="N2187" s="2" t="s">
        <v>1053</v>
      </c>
      <c r="O2187" s="2" t="s">
        <v>183</v>
      </c>
      <c r="P2187" s="2" t="str">
        <f t="shared" si="37"/>
        <v>612048-ELABORACION DE FIBRAS-SUBCUENTA</v>
      </c>
    </row>
    <row r="2188" spans="13:16" x14ac:dyDescent="0.25">
      <c r="M2188" s="34">
        <v>612049</v>
      </c>
      <c r="N2188" s="2" t="s">
        <v>1054</v>
      </c>
      <c r="O2188" s="2" t="s">
        <v>183</v>
      </c>
      <c r="P2188" s="2" t="str">
        <f t="shared" si="37"/>
        <v>612049-ELABORACION DE OTROS PRODUCTOS DE CAUCHO-SUBCUENTA</v>
      </c>
    </row>
    <row r="2189" spans="13:16" x14ac:dyDescent="0.25">
      <c r="M2189" s="34">
        <v>612050</v>
      </c>
      <c r="N2189" s="2" t="s">
        <v>1055</v>
      </c>
      <c r="O2189" s="2" t="s">
        <v>183</v>
      </c>
      <c r="P2189" s="2" t="str">
        <f t="shared" si="37"/>
        <v>612050-ELABORACION DE PRODUCTOS DE PLASTICO-SUBCUENTA</v>
      </c>
    </row>
    <row r="2190" spans="13:16" x14ac:dyDescent="0.25">
      <c r="M2190" s="34">
        <v>612051</v>
      </c>
      <c r="N2190" s="2" t="s">
        <v>1056</v>
      </c>
      <c r="O2190" s="2" t="s">
        <v>183</v>
      </c>
      <c r="P2190" s="2" t="str">
        <f t="shared" si="37"/>
        <v>612051-ELABORACION DE VIDRIO Y PRODUCTOS DE VIDRIO-SUBCUENTA</v>
      </c>
    </row>
    <row r="2191" spans="13:16" x14ac:dyDescent="0.25">
      <c r="M2191" s="34">
        <v>612052</v>
      </c>
      <c r="N2191" s="2" t="s">
        <v>1057</v>
      </c>
      <c r="O2191" s="2" t="s">
        <v>183</v>
      </c>
      <c r="P2191" s="2" t="str">
        <f t="shared" si="37"/>
        <v>612052-ELABORACION DE PRODUCTOS DE CERAMICA, LOZA, PIEDRA, ARCILLA Y PORCELANA-SUBCUENTA</v>
      </c>
    </row>
    <row r="2192" spans="13:16" x14ac:dyDescent="0.25">
      <c r="M2192" s="34">
        <v>612053</v>
      </c>
      <c r="N2192" s="2" t="s">
        <v>1058</v>
      </c>
      <c r="O2192" s="2" t="s">
        <v>183</v>
      </c>
      <c r="P2192" s="2" t="str">
        <f t="shared" si="37"/>
        <v>612053-ELABORACION DE CEMENTO, CAL Y YESO-SUBCUENTA</v>
      </c>
    </row>
    <row r="2193" spans="13:16" x14ac:dyDescent="0.25">
      <c r="M2193" s="34">
        <v>612054</v>
      </c>
      <c r="N2193" s="2" t="s">
        <v>1059</v>
      </c>
      <c r="O2193" s="2" t="s">
        <v>183</v>
      </c>
      <c r="P2193" s="2" t="str">
        <f t="shared" si="37"/>
        <v>612054-ELABORACION DE ARTICULOS DE HORMIGON, CEMENTO Y YESO-SUBCUENTA</v>
      </c>
    </row>
    <row r="2194" spans="13:16" x14ac:dyDescent="0.25">
      <c r="M2194" s="34">
        <v>612055</v>
      </c>
      <c r="N2194" s="2" t="s">
        <v>1060</v>
      </c>
      <c r="O2194" s="2" t="s">
        <v>183</v>
      </c>
      <c r="P2194" s="2" t="str">
        <f t="shared" si="37"/>
        <v>612055-CORTE, TALLADO Y ACABADO DE LA PIEDRA-SUBCUENTA</v>
      </c>
    </row>
    <row r="2195" spans="13:16" x14ac:dyDescent="0.25">
      <c r="M2195" s="34">
        <v>612056</v>
      </c>
      <c r="N2195" s="2" t="s">
        <v>1061</v>
      </c>
      <c r="O2195" s="2" t="s">
        <v>183</v>
      </c>
      <c r="P2195" s="2" t="str">
        <f t="shared" si="37"/>
        <v>612056-ELABORACION DE OTROS PRODUCTOS MINERALES NO METALICOS-SUBCUENTA</v>
      </c>
    </row>
    <row r="2196" spans="13:16" x14ac:dyDescent="0.25">
      <c r="M2196" s="34">
        <v>612057</v>
      </c>
      <c r="N2196" s="2" t="s">
        <v>1062</v>
      </c>
      <c r="O2196" s="2" t="s">
        <v>183</v>
      </c>
      <c r="P2196" s="2" t="str">
        <f t="shared" si="37"/>
        <v>612057-INDUSTRIAS BASICAS Y FUNDICION DE HIERRO Y ACERO-SUBCUENTA</v>
      </c>
    </row>
    <row r="2197" spans="13:16" x14ac:dyDescent="0.25">
      <c r="M2197" s="34">
        <v>612058</v>
      </c>
      <c r="N2197" s="2" t="s">
        <v>1063</v>
      </c>
      <c r="O2197" s="2" t="s">
        <v>183</v>
      </c>
      <c r="P2197" s="2" t="str">
        <f t="shared" si="37"/>
        <v>612058-PRODUCTOS PRIMARIOS DE METALES PRECIOSOS Y DE METALES NO FERROSOS-SUBCUENTA</v>
      </c>
    </row>
    <row r="2198" spans="13:16" x14ac:dyDescent="0.25">
      <c r="M2198" s="34">
        <v>612059</v>
      </c>
      <c r="N2198" s="2" t="s">
        <v>1064</v>
      </c>
      <c r="O2198" s="2" t="s">
        <v>183</v>
      </c>
      <c r="P2198" s="2" t="str">
        <f t="shared" si="37"/>
        <v>612059-FUNDICION DE METALES NO FERROSOS-SUBCUENTA</v>
      </c>
    </row>
    <row r="2199" spans="13:16" x14ac:dyDescent="0.25">
      <c r="M2199" s="34">
        <v>612060</v>
      </c>
      <c r="N2199" s="2" t="s">
        <v>1065</v>
      </c>
      <c r="O2199" s="2" t="s">
        <v>183</v>
      </c>
      <c r="P2199" s="2" t="str">
        <f t="shared" si="37"/>
        <v>612060-FABRICACION DE PRODUCTOS METALICOS PARA USO ESTRUCTURAL-SUBCUENTA</v>
      </c>
    </row>
    <row r="2200" spans="13:16" x14ac:dyDescent="0.25">
      <c r="M2200" s="34">
        <v>612061</v>
      </c>
      <c r="N2200" s="2" t="s">
        <v>1457</v>
      </c>
      <c r="O2200" s="2" t="s">
        <v>183</v>
      </c>
      <c r="P2200" s="2" t="str">
        <f t="shared" si="37"/>
        <v>612061-FORJA, PRENSADO, ESTAMPADO, LAMINADO DE METAL Y-SUBCUENTA</v>
      </c>
    </row>
    <row r="2201" spans="13:16" x14ac:dyDescent="0.25">
      <c r="M2201" s="34">
        <v>612062</v>
      </c>
      <c r="N2201" s="2" t="s">
        <v>1067</v>
      </c>
      <c r="O2201" s="2" t="s">
        <v>183</v>
      </c>
      <c r="P2201" s="2" t="str">
        <f t="shared" si="37"/>
        <v>612062-REVESTIMIENTO DE METALES Y OBRAS DE INGENIERIA MECANICA-SUBCUENTA</v>
      </c>
    </row>
    <row r="2202" spans="13:16" x14ac:dyDescent="0.25">
      <c r="M2202" s="34">
        <v>612063</v>
      </c>
      <c r="N2202" s="2" t="s">
        <v>1068</v>
      </c>
      <c r="O2202" s="2" t="s">
        <v>183</v>
      </c>
      <c r="P2202" s="2" t="str">
        <f t="shared" si="37"/>
        <v>612063-FABRICACION DE ARTICULOS DE FERRETERIA-SUBCUENTA</v>
      </c>
    </row>
    <row r="2203" spans="13:16" x14ac:dyDescent="0.25">
      <c r="M2203" s="34">
        <v>612064</v>
      </c>
      <c r="N2203" s="2" t="s">
        <v>1069</v>
      </c>
      <c r="O2203" s="2" t="s">
        <v>183</v>
      </c>
      <c r="P2203" s="2" t="str">
        <f t="shared" si="37"/>
        <v>612064-ELABORACION DE OTROS PRODUCTOS DE METAL-SUBCUENTA</v>
      </c>
    </row>
    <row r="2204" spans="13:16" x14ac:dyDescent="0.25">
      <c r="M2204" s="34">
        <v>612065</v>
      </c>
      <c r="N2204" s="2" t="s">
        <v>1070</v>
      </c>
      <c r="O2204" s="2" t="s">
        <v>183</v>
      </c>
      <c r="P2204" s="2" t="str">
        <f t="shared" si="37"/>
        <v>612065-FABRICACION DE MAQUINARIA Y EQUIPO-SUBCUENTA</v>
      </c>
    </row>
    <row r="2205" spans="13:16" x14ac:dyDescent="0.25">
      <c r="M2205" s="34">
        <v>612066</v>
      </c>
      <c r="N2205" s="2" t="s">
        <v>1071</v>
      </c>
      <c r="O2205" s="2" t="s">
        <v>183</v>
      </c>
      <c r="P2205" s="2" t="str">
        <f t="shared" si="37"/>
        <v>612066-FABRICACION DE EQUIPOS DE ELEVACION Y MANIPULACION-SUBCUENTA</v>
      </c>
    </row>
    <row r="2206" spans="13:16" x14ac:dyDescent="0.25">
      <c r="M2206" s="34">
        <v>612067</v>
      </c>
      <c r="N2206" s="2" t="s">
        <v>1072</v>
      </c>
      <c r="O2206" s="2" t="s">
        <v>183</v>
      </c>
      <c r="P2206" s="2" t="str">
        <f t="shared" si="37"/>
        <v>612067-ELABORACION DE APARATOS DE USO DOMESTICO-SUBCUENTA</v>
      </c>
    </row>
    <row r="2207" spans="13:16" x14ac:dyDescent="0.25">
      <c r="M2207" s="34">
        <v>612068</v>
      </c>
      <c r="N2207" s="2" t="s">
        <v>1073</v>
      </c>
      <c r="O2207" s="2" t="s">
        <v>183</v>
      </c>
      <c r="P2207" s="2" t="str">
        <f t="shared" si="37"/>
        <v>612068-ELABORACION DE EQUIPO DE OFICINA-SUBCUENTA</v>
      </c>
    </row>
    <row r="2208" spans="13:16" x14ac:dyDescent="0.25">
      <c r="M2208" s="34">
        <v>612069</v>
      </c>
      <c r="N2208" s="2" t="s">
        <v>1074</v>
      </c>
      <c r="O2208" s="2" t="s">
        <v>183</v>
      </c>
      <c r="P2208" s="2" t="str">
        <f t="shared" si="37"/>
        <v>612069-ELABORACION DE PILAS Y BATERIAS PRIMARIAS-SUBCUENTA</v>
      </c>
    </row>
    <row r="2209" spans="13:16" x14ac:dyDescent="0.25">
      <c r="M2209" s="34">
        <v>612070</v>
      </c>
      <c r="N2209" s="2" t="s">
        <v>1075</v>
      </c>
      <c r="O2209" s="2" t="s">
        <v>183</v>
      </c>
      <c r="P2209" s="2" t="str">
        <f t="shared" si="37"/>
        <v>612070-ELABORACION DE EQUIPO DE ILUMINACION-SUBCUENTA</v>
      </c>
    </row>
    <row r="2210" spans="13:16" x14ac:dyDescent="0.25">
      <c r="M2210" s="34">
        <v>612071</v>
      </c>
      <c r="N2210" s="2" t="s">
        <v>1076</v>
      </c>
      <c r="O2210" s="2" t="s">
        <v>183</v>
      </c>
      <c r="P2210" s="2" t="str">
        <f t="shared" si="37"/>
        <v>612071-ELABORACION DE OTROS TIPOS DE EQUIPO ELECTRICO-SUBCUENTA</v>
      </c>
    </row>
    <row r="2211" spans="13:16" x14ac:dyDescent="0.25">
      <c r="M2211" s="34">
        <v>612072</v>
      </c>
      <c r="N2211" s="2" t="s">
        <v>1077</v>
      </c>
      <c r="O2211" s="2" t="s">
        <v>183</v>
      </c>
      <c r="P2211" s="2" t="str">
        <f t="shared" si="37"/>
        <v>612072-FABRICACION DE EQUIPOS DE RADIO, TELEVISION Y COMUNICACIONES-SUBCUENTA</v>
      </c>
    </row>
    <row r="2212" spans="13:16" x14ac:dyDescent="0.25">
      <c r="M2212" s="34">
        <v>612073</v>
      </c>
      <c r="N2212" s="2" t="s">
        <v>1078</v>
      </c>
      <c r="O2212" s="2" t="s">
        <v>183</v>
      </c>
      <c r="P2212" s="2" t="str">
        <f t="shared" si="37"/>
        <v>612073-FABRICACION DE APARATOS E INSTRUMENTOS MEDICOS-SUBCUENTA</v>
      </c>
    </row>
    <row r="2213" spans="13:16" x14ac:dyDescent="0.25">
      <c r="M2213" s="34">
        <v>612074</v>
      </c>
      <c r="N2213" s="2" t="s">
        <v>1079</v>
      </c>
      <c r="O2213" s="2" t="s">
        <v>183</v>
      </c>
      <c r="P2213" s="2" t="str">
        <f t="shared" si="37"/>
        <v>612074-FABRICACION DE INSTRUMENTOS DE MEDICION Y CONTROL-SUBCUENTA</v>
      </c>
    </row>
    <row r="2214" spans="13:16" x14ac:dyDescent="0.25">
      <c r="M2214" s="34">
        <v>612075</v>
      </c>
      <c r="N2214" s="2" t="s">
        <v>1080</v>
      </c>
      <c r="O2214" s="2" t="s">
        <v>183</v>
      </c>
      <c r="P2214" s="2" t="str">
        <f t="shared" si="37"/>
        <v>612075-FABRICACION DE INSTRUMENTOS DE OPTICA Y EQUIPO FOTOGRAFICO-SUBCUENTA</v>
      </c>
    </row>
    <row r="2215" spans="13:16" x14ac:dyDescent="0.25">
      <c r="M2215" s="34">
        <v>612076</v>
      </c>
      <c r="N2215" s="2" t="s">
        <v>1081</v>
      </c>
      <c r="O2215" s="2" t="s">
        <v>183</v>
      </c>
      <c r="P2215" s="2" t="str">
        <f t="shared" si="37"/>
        <v>612076-FABRICACION DE RELOJES-SUBCUENTA</v>
      </c>
    </row>
    <row r="2216" spans="13:16" x14ac:dyDescent="0.25">
      <c r="M2216" s="34">
        <v>612077</v>
      </c>
      <c r="N2216" s="2" t="s">
        <v>1082</v>
      </c>
      <c r="O2216" s="2" t="s">
        <v>183</v>
      </c>
      <c r="P2216" s="2" t="str">
        <f t="shared" si="37"/>
        <v>612077-FABRICACION DE VEHICULOS AUTOMOTORES-SUBCUENTA</v>
      </c>
    </row>
    <row r="2217" spans="13:16" x14ac:dyDescent="0.25">
      <c r="M2217" s="34">
        <v>612078</v>
      </c>
      <c r="N2217" s="2" t="s">
        <v>1083</v>
      </c>
      <c r="O2217" s="2" t="s">
        <v>183</v>
      </c>
      <c r="P2217" s="2" t="str">
        <f t="shared" si="37"/>
        <v>612078-FABRICACION DE CARROCERIAS PARA AUTOMOTORES-SUBCUENTA</v>
      </c>
    </row>
    <row r="2218" spans="13:16" x14ac:dyDescent="0.25">
      <c r="M2218" s="34">
        <v>612079</v>
      </c>
      <c r="N2218" s="2" t="s">
        <v>1084</v>
      </c>
      <c r="O2218" s="2" t="s">
        <v>183</v>
      </c>
      <c r="P2218" s="2" t="str">
        <f t="shared" si="37"/>
        <v>612079-FABRICACION DE PARTES PIEZAS Y ACCESORIOS PARA AUTOMOTORES-SUBCUENTA</v>
      </c>
    </row>
    <row r="2219" spans="13:16" x14ac:dyDescent="0.25">
      <c r="M2219" s="34">
        <v>612080</v>
      </c>
      <c r="N2219" s="2" t="s">
        <v>1085</v>
      </c>
      <c r="O2219" s="2" t="s">
        <v>183</v>
      </c>
      <c r="P2219" s="2" t="str">
        <f t="shared" si="37"/>
        <v>612080-FABRICACION Y REPARACION DE BUQUES Y OTRAS EMBARCACIONES-SUBCUENTA</v>
      </c>
    </row>
    <row r="2220" spans="13:16" x14ac:dyDescent="0.25">
      <c r="M2220" s="34">
        <v>612081</v>
      </c>
      <c r="N2220" s="2" t="s">
        <v>1086</v>
      </c>
      <c r="O2220" s="2" t="s">
        <v>183</v>
      </c>
      <c r="P2220" s="2" t="str">
        <f t="shared" si="37"/>
        <v>612081-FABRICACION DE LOCOMOTORAS Y MATERIAL RODANTE PARA FERROCARRILES-SUBCUENTA</v>
      </c>
    </row>
    <row r="2221" spans="13:16" x14ac:dyDescent="0.25">
      <c r="M2221" s="34">
        <v>612082</v>
      </c>
      <c r="N2221" s="2" t="s">
        <v>1087</v>
      </c>
      <c r="O2221" s="2" t="s">
        <v>183</v>
      </c>
      <c r="P2221" s="2" t="str">
        <f t="shared" si="37"/>
        <v>612082-FABRICACION DE AERONAVES-SUBCUENTA</v>
      </c>
    </row>
    <row r="2222" spans="13:16" x14ac:dyDescent="0.25">
      <c r="M2222" s="34">
        <v>612083</v>
      </c>
      <c r="N2222" s="2" t="s">
        <v>1088</v>
      </c>
      <c r="O2222" s="2" t="s">
        <v>183</v>
      </c>
      <c r="P2222" s="2" t="str">
        <f t="shared" si="37"/>
        <v>612083-FABRICACION DE MOTOCICLETAS-SUBCUENTA</v>
      </c>
    </row>
    <row r="2223" spans="13:16" x14ac:dyDescent="0.25">
      <c r="M2223" s="34">
        <v>612084</v>
      </c>
      <c r="N2223" s="2" t="s">
        <v>1089</v>
      </c>
      <c r="O2223" s="2" t="s">
        <v>183</v>
      </c>
      <c r="P2223" s="2" t="str">
        <f t="shared" si="37"/>
        <v>612084-FABRICACION DE BICICLETAS Y SILLAS DE RUEDAS-SUBCUENTA</v>
      </c>
    </row>
    <row r="2224" spans="13:16" x14ac:dyDescent="0.25">
      <c r="M2224" s="34">
        <v>612085</v>
      </c>
      <c r="N2224" s="2" t="s">
        <v>1090</v>
      </c>
      <c r="O2224" s="2" t="s">
        <v>183</v>
      </c>
      <c r="P2224" s="2" t="str">
        <f t="shared" si="37"/>
        <v>612085-FABRICACION DE OTROS TIPOS DE TRANSPORTE-SUBCUENTA</v>
      </c>
    </row>
    <row r="2225" spans="13:16" x14ac:dyDescent="0.25">
      <c r="M2225" s="34">
        <v>612086</v>
      </c>
      <c r="N2225" s="2" t="s">
        <v>1091</v>
      </c>
      <c r="O2225" s="2" t="s">
        <v>183</v>
      </c>
      <c r="P2225" s="2" t="str">
        <f t="shared" si="37"/>
        <v>612086-FABRICACION DE MUEBLES-SUBCUENTA</v>
      </c>
    </row>
    <row r="2226" spans="13:16" x14ac:dyDescent="0.25">
      <c r="M2226" s="34">
        <v>612087</v>
      </c>
      <c r="N2226" s="2" t="s">
        <v>1092</v>
      </c>
      <c r="O2226" s="2" t="s">
        <v>183</v>
      </c>
      <c r="P2226" s="2" t="str">
        <f t="shared" si="37"/>
        <v>612087-FABRICACION DE JOYAS Y ARTICULOS CONEXOS-SUBCUENTA</v>
      </c>
    </row>
    <row r="2227" spans="13:16" x14ac:dyDescent="0.25">
      <c r="M2227" s="34">
        <v>612088</v>
      </c>
      <c r="N2227" s="2" t="s">
        <v>1093</v>
      </c>
      <c r="O2227" s="2" t="s">
        <v>183</v>
      </c>
      <c r="P2227" s="2" t="str">
        <f t="shared" si="37"/>
        <v>612088-FABRICACION DE INSTRUMENTOS DE MUSICA-SUBCUENTA</v>
      </c>
    </row>
    <row r="2228" spans="13:16" x14ac:dyDescent="0.25">
      <c r="M2228" s="34">
        <v>612089</v>
      </c>
      <c r="N2228" s="2" t="s">
        <v>1094</v>
      </c>
      <c r="O2228" s="2" t="s">
        <v>183</v>
      </c>
      <c r="P2228" s="2" t="str">
        <f t="shared" si="37"/>
        <v>612089-FABRICACION DE ARTICULOS Y EQUIPO PARA DEPORTE-SUBCUENTA</v>
      </c>
    </row>
    <row r="2229" spans="13:16" x14ac:dyDescent="0.25">
      <c r="M2229" s="34">
        <v>612090</v>
      </c>
      <c r="N2229" s="2" t="s">
        <v>1095</v>
      </c>
      <c r="O2229" s="2" t="s">
        <v>183</v>
      </c>
      <c r="P2229" s="2" t="str">
        <f t="shared" si="37"/>
        <v>612090-FABRICACION DE JUEGOS Y JUGUETES-SUBCUENTA</v>
      </c>
    </row>
    <row r="2230" spans="13:16" x14ac:dyDescent="0.25">
      <c r="M2230" s="34">
        <v>612091</v>
      </c>
      <c r="N2230" s="2" t="s">
        <v>1096</v>
      </c>
      <c r="O2230" s="2" t="s">
        <v>183</v>
      </c>
      <c r="P2230" s="2" t="str">
        <f t="shared" si="37"/>
        <v>612091-RECICLAMIENTO DE DESPERDICIOS-SUBCUENTA</v>
      </c>
    </row>
    <row r="2231" spans="13:16" x14ac:dyDescent="0.25">
      <c r="M2231" s="34">
        <v>612095</v>
      </c>
      <c r="N2231" s="2" t="s">
        <v>1097</v>
      </c>
      <c r="O2231" s="2" t="s">
        <v>183</v>
      </c>
      <c r="P2231" s="2" t="str">
        <f t="shared" si="37"/>
        <v>612095-PRODUCTOS DE OTRAS INDUSTRIAS MANUFACTURERAS-SUBCUENTA</v>
      </c>
    </row>
    <row r="2232" spans="13:16" x14ac:dyDescent="0.25">
      <c r="M2232" s="34">
        <v>612099</v>
      </c>
      <c r="N2232" s="2" t="s">
        <v>367</v>
      </c>
      <c r="O2232" s="2" t="s">
        <v>183</v>
      </c>
      <c r="P2232" s="2" t="str">
        <f t="shared" si="37"/>
        <v>612099-AJUSTES POR INFLACION-SUBCUENTA</v>
      </c>
    </row>
    <row r="2233" spans="13:16" x14ac:dyDescent="0.25">
      <c r="M2233" s="34">
        <v>6125</v>
      </c>
      <c r="N2233" s="2" t="s">
        <v>1098</v>
      </c>
      <c r="O2233" s="2" t="s">
        <v>182</v>
      </c>
      <c r="P2233" s="2" t="str">
        <f t="shared" si="37"/>
        <v>6125-SUMINISTRO DE ELECTRICIDAD, GAS Y AGUA-CUENTA</v>
      </c>
    </row>
    <row r="2234" spans="13:16" x14ac:dyDescent="0.25">
      <c r="M2234" s="34">
        <v>612505</v>
      </c>
      <c r="N2234" s="2" t="s">
        <v>1099</v>
      </c>
      <c r="O2234" s="2" t="s">
        <v>183</v>
      </c>
      <c r="P2234" s="2" t="str">
        <f t="shared" si="37"/>
        <v>612505-GENERACION, CAPTACION Y DISTRIBUCION DE ENERGIA ELECTRICA-SUBCUENTA</v>
      </c>
    </row>
    <row r="2235" spans="13:16" x14ac:dyDescent="0.25">
      <c r="M2235" s="34">
        <v>612510</v>
      </c>
      <c r="N2235" s="2" t="s">
        <v>1100</v>
      </c>
      <c r="O2235" s="2" t="s">
        <v>183</v>
      </c>
      <c r="P2235" s="2" t="str">
        <f t="shared" si="37"/>
        <v>612510-FABRICACION DE GAS Y DISTRIBUCION DE COMBUSTIBLES GASEOSOS-SUBCUENTA</v>
      </c>
    </row>
    <row r="2236" spans="13:16" x14ac:dyDescent="0.25">
      <c r="M2236" s="34">
        <v>612515</v>
      </c>
      <c r="N2236" s="2" t="s">
        <v>1101</v>
      </c>
      <c r="O2236" s="2" t="s">
        <v>183</v>
      </c>
      <c r="P2236" s="2" t="str">
        <f t="shared" si="37"/>
        <v>612515-CAPTACION, DEPURACION Y DISTRIBUCION DE AGUA-SUBCUENTA</v>
      </c>
    </row>
    <row r="2237" spans="13:16" x14ac:dyDescent="0.25">
      <c r="M2237" s="34">
        <v>612595</v>
      </c>
      <c r="N2237" s="2" t="s">
        <v>992</v>
      </c>
      <c r="O2237" s="2" t="s">
        <v>183</v>
      </c>
      <c r="P2237" s="2" t="str">
        <f t="shared" si="37"/>
        <v>612595-ACTIVIDADES CONEXAS-SUBCUENTA</v>
      </c>
    </row>
    <row r="2238" spans="13:16" x14ac:dyDescent="0.25">
      <c r="M2238" s="34">
        <v>612599</v>
      </c>
      <c r="N2238" s="2" t="s">
        <v>367</v>
      </c>
      <c r="O2238" s="2" t="s">
        <v>183</v>
      </c>
      <c r="P2238" s="2" t="str">
        <f t="shared" si="37"/>
        <v>612599-AJUSTES POR INFLACION-SUBCUENTA</v>
      </c>
    </row>
    <row r="2239" spans="13:16" x14ac:dyDescent="0.25">
      <c r="M2239" s="34">
        <v>6130</v>
      </c>
      <c r="N2239" s="2" t="s">
        <v>1102</v>
      </c>
      <c r="O2239" s="2" t="s">
        <v>182</v>
      </c>
      <c r="P2239" s="2" t="str">
        <f t="shared" si="37"/>
        <v>6130-CONSTRUCCION-CUENTA</v>
      </c>
    </row>
    <row r="2240" spans="13:16" x14ac:dyDescent="0.25">
      <c r="M2240" s="34">
        <v>613005</v>
      </c>
      <c r="N2240" s="2" t="s">
        <v>1103</v>
      </c>
      <c r="O2240" s="2" t="s">
        <v>183</v>
      </c>
      <c r="P2240" s="2" t="str">
        <f t="shared" si="37"/>
        <v>613005-PREPARACION DE TERRENOS-SUBCUENTA</v>
      </c>
    </row>
    <row r="2241" spans="13:16" x14ac:dyDescent="0.25">
      <c r="M2241" s="34">
        <v>613010</v>
      </c>
      <c r="N2241" s="2" t="s">
        <v>1104</v>
      </c>
      <c r="O2241" s="2" t="s">
        <v>183</v>
      </c>
      <c r="P2241" s="2" t="str">
        <f t="shared" si="37"/>
        <v>613010-CONSTRUCCION DE EDIFICIOS Y OBRAS DE INGENIERIA CIVIL-SUBCUENTA</v>
      </c>
    </row>
    <row r="2242" spans="13:16" x14ac:dyDescent="0.25">
      <c r="M2242" s="34">
        <v>613015</v>
      </c>
      <c r="N2242" s="2" t="s">
        <v>1105</v>
      </c>
      <c r="O2242" s="2" t="s">
        <v>183</v>
      </c>
      <c r="P2242" s="2" t="str">
        <f t="shared" si="37"/>
        <v>613015-ACONDICIONAMIENTO DE EDIFICIOS-SUBCUENTA</v>
      </c>
    </row>
    <row r="2243" spans="13:16" x14ac:dyDescent="0.25">
      <c r="M2243" s="34">
        <v>613020</v>
      </c>
      <c r="N2243" s="2" t="s">
        <v>1106</v>
      </c>
      <c r="O2243" s="2" t="s">
        <v>183</v>
      </c>
      <c r="P2243" s="2" t="str">
        <f t="shared" si="37"/>
        <v>613020-TERMINACION DE EDIFICACIONES-SUBCUENTA</v>
      </c>
    </row>
    <row r="2244" spans="13:16" x14ac:dyDescent="0.25">
      <c r="M2244" s="34">
        <v>613025</v>
      </c>
      <c r="N2244" s="2" t="s">
        <v>1458</v>
      </c>
      <c r="O2244" s="2" t="s">
        <v>183</v>
      </c>
      <c r="P2244" s="2" t="str">
        <f t="shared" ref="P2244:P2307" si="38">IF(AND(M2244&lt;&gt;"",N2244&lt;&gt;"",O2244&lt;&gt;""),M2244&amp;"-"&amp;N2244&amp;"-"&amp;O2244,IF(AND(M2244="",N2244&lt;&gt;"",O2244&lt;&gt;""),N2244&amp;"-"&amp;O2244,IF(AND(M2244&lt;&gt;"",N2244="",O2244&lt;&gt;""),M2244&amp;"-"&amp;O2244,IF(AND(M2244&lt;&gt;"",N2244&lt;&gt;"",O2244=""),M2244&amp;"-"&amp;N2244,IF(AND(M2244&lt;&gt;"",N2244="",O2244=""),M2244,"")))))</f>
        <v>613025-ALQUILER DE EQUIPO CON OPERARIO-SUBCUENTA</v>
      </c>
    </row>
    <row r="2245" spans="13:16" x14ac:dyDescent="0.25">
      <c r="M2245" s="34">
        <v>613095</v>
      </c>
      <c r="N2245" s="2" t="s">
        <v>992</v>
      </c>
      <c r="O2245" s="2" t="s">
        <v>183</v>
      </c>
      <c r="P2245" s="2" t="str">
        <f t="shared" si="38"/>
        <v>613095-ACTIVIDADES CONEXAS-SUBCUENTA</v>
      </c>
    </row>
    <row r="2246" spans="13:16" x14ac:dyDescent="0.25">
      <c r="M2246" s="34">
        <v>613099</v>
      </c>
      <c r="N2246" s="2" t="s">
        <v>367</v>
      </c>
      <c r="O2246" s="2" t="s">
        <v>183</v>
      </c>
      <c r="P2246" s="2" t="str">
        <f t="shared" si="38"/>
        <v>613099-AJUSTES POR INFLACION-SUBCUENTA</v>
      </c>
    </row>
    <row r="2247" spans="13:16" x14ac:dyDescent="0.25">
      <c r="M2247" s="34">
        <v>6135</v>
      </c>
      <c r="N2247" s="2" t="s">
        <v>1108</v>
      </c>
      <c r="O2247" s="2" t="s">
        <v>182</v>
      </c>
      <c r="P2247" s="2" t="str">
        <f t="shared" si="38"/>
        <v>6135-COMERCIO AL POR MAYOR Y AL POR MENOR-CUENTA</v>
      </c>
    </row>
    <row r="2248" spans="13:16" x14ac:dyDescent="0.25">
      <c r="M2248" s="34">
        <v>613502</v>
      </c>
      <c r="N2248" s="2" t="s">
        <v>1109</v>
      </c>
      <c r="O2248" s="2" t="s">
        <v>183</v>
      </c>
      <c r="P2248" s="2" t="str">
        <f t="shared" si="38"/>
        <v>613502-VENTA DE VEHICULOS AUTOMOTORES-SUBCUENTA</v>
      </c>
    </row>
    <row r="2249" spans="13:16" x14ac:dyDescent="0.25">
      <c r="M2249" s="34">
        <v>613504</v>
      </c>
      <c r="N2249" s="2" t="s">
        <v>1110</v>
      </c>
      <c r="O2249" s="2" t="s">
        <v>183</v>
      </c>
      <c r="P2249" s="2" t="str">
        <f t="shared" si="38"/>
        <v>613504-MANTENIMIENTO, REPARACION Y LAVADO DE VEHICULOS AUTOMOTORES-SUBCUENTA</v>
      </c>
    </row>
    <row r="2250" spans="13:16" x14ac:dyDescent="0.25">
      <c r="M2250" s="34">
        <v>613506</v>
      </c>
      <c r="N2250" s="2" t="s">
        <v>1111</v>
      </c>
      <c r="O2250" s="2" t="s">
        <v>183</v>
      </c>
      <c r="P2250" s="2" t="str">
        <f t="shared" si="38"/>
        <v>613506-VENTA DE PARTES, PIEZAS Y ACCESORIOS DE VEHICULOS AUTOMOTORES-SUBCUENTA</v>
      </c>
    </row>
    <row r="2251" spans="13:16" x14ac:dyDescent="0.25">
      <c r="M2251" s="34">
        <v>613508</v>
      </c>
      <c r="N2251" s="2" t="s">
        <v>1112</v>
      </c>
      <c r="O2251" s="2" t="s">
        <v>183</v>
      </c>
      <c r="P2251" s="2" t="str">
        <f t="shared" si="38"/>
        <v>613508-VENTA DE COMBUSTIBLES SOLIDOS, LIQUIDOS, GASEOSOS-SUBCUENTA</v>
      </c>
    </row>
    <row r="2252" spans="13:16" x14ac:dyDescent="0.25">
      <c r="M2252" s="34">
        <v>613510</v>
      </c>
      <c r="N2252" s="2" t="s">
        <v>1113</v>
      </c>
      <c r="O2252" s="2" t="s">
        <v>183</v>
      </c>
      <c r="P2252" s="2" t="str">
        <f t="shared" si="38"/>
        <v>613510-VENTA DE LUBRICANTES, ADITIVOS, LLANTAS Y LUJOS PARA AUTOMOTORES-SUBCUENTA</v>
      </c>
    </row>
    <row r="2253" spans="13:16" x14ac:dyDescent="0.25">
      <c r="M2253" s="34">
        <v>613512</v>
      </c>
      <c r="N2253" s="2" t="s">
        <v>1114</v>
      </c>
      <c r="O2253" s="2" t="s">
        <v>183</v>
      </c>
      <c r="P2253" s="2" t="str">
        <f t="shared" si="38"/>
        <v>613512-VENTA A CAMBIO DE RETRIBUCION O POR CONTRATA-SUBCUENTA</v>
      </c>
    </row>
    <row r="2254" spans="13:16" x14ac:dyDescent="0.25">
      <c r="M2254" s="34">
        <v>613514</v>
      </c>
      <c r="N2254" s="2" t="s">
        <v>1115</v>
      </c>
      <c r="O2254" s="2" t="s">
        <v>183</v>
      </c>
      <c r="P2254" s="2" t="str">
        <f t="shared" si="38"/>
        <v>613514-VENTA DE INSUMOS, MATERIAS PRIMAS AGROPECUARIAS Y FLORES-SUBCUENTA</v>
      </c>
    </row>
    <row r="2255" spans="13:16" x14ac:dyDescent="0.25">
      <c r="M2255" s="34">
        <v>613516</v>
      </c>
      <c r="N2255" s="2" t="s">
        <v>1116</v>
      </c>
      <c r="O2255" s="2" t="s">
        <v>183</v>
      </c>
      <c r="P2255" s="2" t="str">
        <f t="shared" si="38"/>
        <v>613516-VENTA DE OTROS INSUMOS Y MATERIAS PRIMAS NO AGROPECUARIAS-SUBCUENTA</v>
      </c>
    </row>
    <row r="2256" spans="13:16" x14ac:dyDescent="0.25">
      <c r="M2256" s="34">
        <v>613518</v>
      </c>
      <c r="N2256" s="2" t="s">
        <v>1117</v>
      </c>
      <c r="O2256" s="2" t="s">
        <v>183</v>
      </c>
      <c r="P2256" s="2" t="str">
        <f t="shared" si="38"/>
        <v>613518-VENTA DE ANIMALES VIVOS Y CUEROS-SUBCUENTA</v>
      </c>
    </row>
    <row r="2257" spans="13:16" x14ac:dyDescent="0.25">
      <c r="M2257" s="34">
        <v>613520</v>
      </c>
      <c r="N2257" s="2" t="s">
        <v>1118</v>
      </c>
      <c r="O2257" s="2" t="s">
        <v>183</v>
      </c>
      <c r="P2257" s="2" t="str">
        <f t="shared" si="38"/>
        <v>613520-VENTA DE PRODUCTOS EN ALMACENES NO ESPECIALIZADOS-SUBCUENTA</v>
      </c>
    </row>
    <row r="2258" spans="13:16" x14ac:dyDescent="0.25">
      <c r="M2258" s="34">
        <v>613522</v>
      </c>
      <c r="N2258" s="2" t="s">
        <v>1119</v>
      </c>
      <c r="O2258" s="2" t="s">
        <v>183</v>
      </c>
      <c r="P2258" s="2" t="str">
        <f t="shared" si="38"/>
        <v>613522-VENTA DE PRODUCTOS AGROPECUARIOS-SUBCUENTA</v>
      </c>
    </row>
    <row r="2259" spans="13:16" x14ac:dyDescent="0.25">
      <c r="M2259" s="34">
        <v>613524</v>
      </c>
      <c r="N2259" s="2" t="s">
        <v>1120</v>
      </c>
      <c r="O2259" s="2" t="s">
        <v>183</v>
      </c>
      <c r="P2259" s="2" t="str">
        <f t="shared" si="38"/>
        <v>613524-VENTA DE PRODUCTOS TEXTILES, DE VESTIR, DE CUERO Y CALZADO-SUBCUENTA</v>
      </c>
    </row>
    <row r="2260" spans="13:16" x14ac:dyDescent="0.25">
      <c r="M2260" s="34">
        <v>613526</v>
      </c>
      <c r="N2260" s="2" t="s">
        <v>1121</v>
      </c>
      <c r="O2260" s="2" t="s">
        <v>183</v>
      </c>
      <c r="P2260" s="2" t="str">
        <f t="shared" si="38"/>
        <v>613526-VENTA DE PAPEL Y CARTON-SUBCUENTA</v>
      </c>
    </row>
    <row r="2261" spans="13:16" x14ac:dyDescent="0.25">
      <c r="M2261" s="34">
        <v>613528</v>
      </c>
      <c r="N2261" s="2" t="s">
        <v>1122</v>
      </c>
      <c r="O2261" s="2" t="s">
        <v>183</v>
      </c>
      <c r="P2261" s="2" t="str">
        <f t="shared" si="38"/>
        <v>613528-VENTA DE LIBROS, REVISTAS, ELEMENTOS DE PAPELERIA, UTILES Y TEXTOS ESCOLARES-SUBCUENTA</v>
      </c>
    </row>
    <row r="2262" spans="13:16" x14ac:dyDescent="0.25">
      <c r="M2262" s="34">
        <v>613530</v>
      </c>
      <c r="N2262" s="2" t="s">
        <v>1123</v>
      </c>
      <c r="O2262" s="2" t="s">
        <v>183</v>
      </c>
      <c r="P2262" s="2" t="str">
        <f t="shared" si="38"/>
        <v>613530-VENTA DE JUEGOS, JUGUETES Y ARTICULOS DEPORTIVOS-SUBCUENTA</v>
      </c>
    </row>
    <row r="2263" spans="13:16" x14ac:dyDescent="0.25">
      <c r="M2263" s="34">
        <v>613532</v>
      </c>
      <c r="N2263" s="2" t="s">
        <v>1124</v>
      </c>
      <c r="O2263" s="2" t="s">
        <v>183</v>
      </c>
      <c r="P2263" s="2" t="str">
        <f t="shared" si="38"/>
        <v>613532-VENTA DE INSTRUMENTOS QUIRURGICOS Y ORTOPEDICOS-SUBCUENTA</v>
      </c>
    </row>
    <row r="2264" spans="13:16" x14ac:dyDescent="0.25">
      <c r="M2264" s="34">
        <v>613534</v>
      </c>
      <c r="N2264" s="2" t="s">
        <v>1125</v>
      </c>
      <c r="O2264" s="2" t="s">
        <v>183</v>
      </c>
      <c r="P2264" s="2" t="str">
        <f t="shared" si="38"/>
        <v>613534-VENTA DE ARTICULOS EN RELOJERIAS Y JOYERIAS-SUBCUENTA</v>
      </c>
    </row>
    <row r="2265" spans="13:16" x14ac:dyDescent="0.25">
      <c r="M2265" s="34">
        <v>613536</v>
      </c>
      <c r="N2265" s="2" t="s">
        <v>1126</v>
      </c>
      <c r="O2265" s="2" t="s">
        <v>183</v>
      </c>
      <c r="P2265" s="2" t="str">
        <f t="shared" si="38"/>
        <v>613536-VENTA DE ELECTRODOMESTICOS Y MUEBLES-SUBCUENTA</v>
      </c>
    </row>
    <row r="2266" spans="13:16" x14ac:dyDescent="0.25">
      <c r="M2266" s="34">
        <v>613538</v>
      </c>
      <c r="N2266" s="2" t="s">
        <v>1127</v>
      </c>
      <c r="O2266" s="2" t="s">
        <v>183</v>
      </c>
      <c r="P2266" s="2" t="str">
        <f t="shared" si="38"/>
        <v>613538-VENTA DE PRODUCTOS DE ASEO, FARMACEUTICOS, MEDICINALES, Y ARTICULOS DE TOCADOR-SUBCUENTA</v>
      </c>
    </row>
    <row r="2267" spans="13:16" x14ac:dyDescent="0.25">
      <c r="M2267" s="34">
        <v>613540</v>
      </c>
      <c r="N2267" s="2" t="s">
        <v>1128</v>
      </c>
      <c r="O2267" s="2" t="s">
        <v>183</v>
      </c>
      <c r="P2267" s="2" t="str">
        <f t="shared" si="38"/>
        <v>613540-VENTA DE CUBIERTOS, VAJILLAS, CRISTALERIA, PORCELANAS, CERAMICAS Y OTROS ARTICULOS DE USO DOMESTICO-SUBCUENTA</v>
      </c>
    </row>
    <row r="2268" spans="13:16" x14ac:dyDescent="0.25">
      <c r="M2268" s="34">
        <v>613542</v>
      </c>
      <c r="N2268" s="2" t="s">
        <v>1129</v>
      </c>
      <c r="O2268" s="2" t="s">
        <v>183</v>
      </c>
      <c r="P2268" s="2" t="str">
        <f t="shared" si="38"/>
        <v>613542-VENTA DE MATERIALES DE CONSTRUCCION, FONTANERIA Y CALEFACCION-SUBCUENTA</v>
      </c>
    </row>
    <row r="2269" spans="13:16" x14ac:dyDescent="0.25">
      <c r="M2269" s="34">
        <v>613544</v>
      </c>
      <c r="N2269" s="2" t="s">
        <v>1130</v>
      </c>
      <c r="O2269" s="2" t="s">
        <v>183</v>
      </c>
      <c r="P2269" s="2" t="str">
        <f t="shared" si="38"/>
        <v>613544-VENTA DE PINTURAS Y LACAS-SUBCUENTA</v>
      </c>
    </row>
    <row r="2270" spans="13:16" x14ac:dyDescent="0.25">
      <c r="M2270" s="34">
        <v>613546</v>
      </c>
      <c r="N2270" s="2" t="s">
        <v>1131</v>
      </c>
      <c r="O2270" s="2" t="s">
        <v>183</v>
      </c>
      <c r="P2270" s="2" t="str">
        <f t="shared" si="38"/>
        <v>613546-VENTA DE PRODUCTOS DE VIDRIOS Y MARQUETERIA-SUBCUENTA</v>
      </c>
    </row>
    <row r="2271" spans="13:16" x14ac:dyDescent="0.25">
      <c r="M2271" s="34">
        <v>613548</v>
      </c>
      <c r="N2271" s="2" t="s">
        <v>1132</v>
      </c>
      <c r="O2271" s="2" t="s">
        <v>183</v>
      </c>
      <c r="P2271" s="2" t="str">
        <f t="shared" si="38"/>
        <v>613548-VENTA DE HERRAMIENTAS Y ARTICULOS DE FERRETERIA-SUBCUENTA</v>
      </c>
    </row>
    <row r="2272" spans="13:16" x14ac:dyDescent="0.25">
      <c r="M2272" s="34">
        <v>613550</v>
      </c>
      <c r="N2272" s="2" t="s">
        <v>1133</v>
      </c>
      <c r="O2272" s="2" t="s">
        <v>183</v>
      </c>
      <c r="P2272" s="2" t="str">
        <f t="shared" si="38"/>
        <v>613550-VENTA DE QUIMICOS-SUBCUENTA</v>
      </c>
    </row>
    <row r="2273" spans="13:16" x14ac:dyDescent="0.25">
      <c r="M2273" s="34">
        <v>613552</v>
      </c>
      <c r="N2273" s="2" t="s">
        <v>1134</v>
      </c>
      <c r="O2273" s="2" t="s">
        <v>183</v>
      </c>
      <c r="P2273" s="2" t="str">
        <f t="shared" si="38"/>
        <v>613552-VENTA DE PRODUCTOS INTERMEDIOS, DESPERDICIOS Y DESECHOS-SUBCUENTA</v>
      </c>
    </row>
    <row r="2274" spans="13:16" x14ac:dyDescent="0.25">
      <c r="M2274" s="34">
        <v>613554</v>
      </c>
      <c r="N2274" s="2" t="s">
        <v>1135</v>
      </c>
      <c r="O2274" s="2" t="s">
        <v>183</v>
      </c>
      <c r="P2274" s="2" t="str">
        <f t="shared" si="38"/>
        <v>613554-VENTA DE MAQUINARIA, EQUIPO DE OFICINA Y PROGRAMAS DE COMPUTADOR-SUBCUENTA</v>
      </c>
    </row>
    <row r="2275" spans="13:16" x14ac:dyDescent="0.25">
      <c r="M2275" s="34">
        <v>613556</v>
      </c>
      <c r="N2275" s="2" t="s">
        <v>1136</v>
      </c>
      <c r="O2275" s="2" t="s">
        <v>183</v>
      </c>
      <c r="P2275" s="2" t="str">
        <f t="shared" si="38"/>
        <v>613556-VENTA DE ARTICULOS EN CACHARRERIAS Y MISCELANEAS-SUBCUENTA</v>
      </c>
    </row>
    <row r="2276" spans="13:16" x14ac:dyDescent="0.25">
      <c r="M2276" s="34">
        <v>613558</v>
      </c>
      <c r="N2276" s="2" t="s">
        <v>1137</v>
      </c>
      <c r="O2276" s="2" t="s">
        <v>183</v>
      </c>
      <c r="P2276" s="2" t="str">
        <f t="shared" si="38"/>
        <v>613558-VENTA DE INSTRUMENTOS MUSICALES-SUBCUENTA</v>
      </c>
    </row>
    <row r="2277" spans="13:16" x14ac:dyDescent="0.25">
      <c r="M2277" s="34">
        <v>613560</v>
      </c>
      <c r="N2277" s="2" t="s">
        <v>1138</v>
      </c>
      <c r="O2277" s="2" t="s">
        <v>183</v>
      </c>
      <c r="P2277" s="2" t="str">
        <f t="shared" si="38"/>
        <v>613560-VENTA DE ARTICULOS EN CASAS DE EMPEÑO Y PRENDERIAS-SUBCUENTA</v>
      </c>
    </row>
    <row r="2278" spans="13:16" x14ac:dyDescent="0.25">
      <c r="M2278" s="34">
        <v>613562</v>
      </c>
      <c r="N2278" s="2" t="s">
        <v>1139</v>
      </c>
      <c r="O2278" s="2" t="s">
        <v>183</v>
      </c>
      <c r="P2278" s="2" t="str">
        <f t="shared" si="38"/>
        <v>613562-VENTA DE EQUIPO FOTOGRAFICO-SUBCUENTA</v>
      </c>
    </row>
    <row r="2279" spans="13:16" x14ac:dyDescent="0.25">
      <c r="M2279" s="34">
        <v>613564</v>
      </c>
      <c r="N2279" s="2" t="s">
        <v>1140</v>
      </c>
      <c r="O2279" s="2" t="s">
        <v>183</v>
      </c>
      <c r="P2279" s="2" t="str">
        <f t="shared" si="38"/>
        <v>613564-VENTA DE EQUIPO OPTICO Y DE PRECISION-SUBCUENTA</v>
      </c>
    </row>
    <row r="2280" spans="13:16" x14ac:dyDescent="0.25">
      <c r="M2280" s="34">
        <v>613566</v>
      </c>
      <c r="N2280" s="2" t="s">
        <v>1141</v>
      </c>
      <c r="O2280" s="2" t="s">
        <v>183</v>
      </c>
      <c r="P2280" s="2" t="str">
        <f t="shared" si="38"/>
        <v>613566-VENTA DE EMPAQUES-SUBCUENTA</v>
      </c>
    </row>
    <row r="2281" spans="13:16" x14ac:dyDescent="0.25">
      <c r="M2281" s="34">
        <v>613568</v>
      </c>
      <c r="N2281" s="2" t="s">
        <v>1142</v>
      </c>
      <c r="O2281" s="2" t="s">
        <v>183</v>
      </c>
      <c r="P2281" s="2" t="str">
        <f t="shared" si="38"/>
        <v>613568-VENTA DE EQUIPO PROFESIONAL Y CIENTIFICO-SUBCUENTA</v>
      </c>
    </row>
    <row r="2282" spans="13:16" x14ac:dyDescent="0.25">
      <c r="M2282" s="34">
        <v>613570</v>
      </c>
      <c r="N2282" s="2" t="s">
        <v>1143</v>
      </c>
      <c r="O2282" s="2" t="s">
        <v>183</v>
      </c>
      <c r="P2282" s="2" t="str">
        <f t="shared" si="38"/>
        <v>613570-VENTA DE LOTERIAS, RIFAS, CHANCE, APUESTAS Y SIMILARES-SUBCUENTA</v>
      </c>
    </row>
    <row r="2283" spans="13:16" x14ac:dyDescent="0.25">
      <c r="M2283" s="34">
        <v>613572</v>
      </c>
      <c r="N2283" s="2" t="s">
        <v>1144</v>
      </c>
      <c r="O2283" s="2" t="s">
        <v>183</v>
      </c>
      <c r="P2283" s="2" t="str">
        <f t="shared" si="38"/>
        <v>613572-REPARACION DE EFECTOS PERSONALES Y ELECTRODOMESTICOS-SUBCUENTA</v>
      </c>
    </row>
    <row r="2284" spans="13:16" x14ac:dyDescent="0.25">
      <c r="M2284" s="34">
        <v>613595</v>
      </c>
      <c r="N2284" s="2" t="s">
        <v>1145</v>
      </c>
      <c r="O2284" s="2" t="s">
        <v>183</v>
      </c>
      <c r="P2284" s="2" t="str">
        <f t="shared" si="38"/>
        <v>613595-VENTA DE OTROS PRODUCTOS-SUBCUENTA</v>
      </c>
    </row>
    <row r="2285" spans="13:16" x14ac:dyDescent="0.25">
      <c r="M2285" s="34">
        <v>613599</v>
      </c>
      <c r="N2285" s="2" t="s">
        <v>367</v>
      </c>
      <c r="O2285" s="2" t="s">
        <v>183</v>
      </c>
      <c r="P2285" s="2" t="str">
        <f t="shared" si="38"/>
        <v>613599-AJUSTES POR INFLACION-SUBCUENTA</v>
      </c>
    </row>
    <row r="2286" spans="13:16" x14ac:dyDescent="0.25">
      <c r="M2286" s="34">
        <v>6140</v>
      </c>
      <c r="N2286" s="2" t="s">
        <v>1146</v>
      </c>
      <c r="O2286" s="2" t="s">
        <v>182</v>
      </c>
      <c r="P2286" s="2" t="str">
        <f t="shared" si="38"/>
        <v>6140-HOTELES Y RESTAURANTES-CUENTA</v>
      </c>
    </row>
    <row r="2287" spans="13:16" x14ac:dyDescent="0.25">
      <c r="M2287" s="34">
        <v>614005</v>
      </c>
      <c r="N2287" s="2" t="s">
        <v>1147</v>
      </c>
      <c r="O2287" s="2" t="s">
        <v>183</v>
      </c>
      <c r="P2287" s="2" t="str">
        <f t="shared" si="38"/>
        <v>614005-HOTELERIA-SUBCUENTA</v>
      </c>
    </row>
    <row r="2288" spans="13:16" x14ac:dyDescent="0.25">
      <c r="M2288" s="34">
        <v>614010</v>
      </c>
      <c r="N2288" s="2" t="s">
        <v>1148</v>
      </c>
      <c r="O2288" s="2" t="s">
        <v>183</v>
      </c>
      <c r="P2288" s="2" t="str">
        <f t="shared" si="38"/>
        <v>614010-CAMPAMENTO Y OTROS TIPOS DE HOSPEDAJE-SUBCUENTA</v>
      </c>
    </row>
    <row r="2289" spans="13:16" x14ac:dyDescent="0.25">
      <c r="M2289" s="34">
        <v>614015</v>
      </c>
      <c r="N2289" s="2" t="s">
        <v>1149</v>
      </c>
      <c r="O2289" s="2" t="s">
        <v>183</v>
      </c>
      <c r="P2289" s="2" t="str">
        <f t="shared" si="38"/>
        <v>614015-RESTAURANTES-SUBCUENTA</v>
      </c>
    </row>
    <row r="2290" spans="13:16" x14ac:dyDescent="0.25">
      <c r="M2290" s="34">
        <v>614020</v>
      </c>
      <c r="N2290" s="2" t="s">
        <v>1150</v>
      </c>
      <c r="O2290" s="2" t="s">
        <v>183</v>
      </c>
      <c r="P2290" s="2" t="str">
        <f t="shared" si="38"/>
        <v>614020-BARES Y CANTINAS-SUBCUENTA</v>
      </c>
    </row>
    <row r="2291" spans="13:16" x14ac:dyDescent="0.25">
      <c r="M2291" s="34">
        <v>614095</v>
      </c>
      <c r="N2291" s="2" t="s">
        <v>992</v>
      </c>
      <c r="O2291" s="2" t="s">
        <v>183</v>
      </c>
      <c r="P2291" s="2" t="str">
        <f t="shared" si="38"/>
        <v>614095-ACTIVIDADES CONEXAS-SUBCUENTA</v>
      </c>
    </row>
    <row r="2292" spans="13:16" x14ac:dyDescent="0.25">
      <c r="M2292" s="34">
        <v>614099</v>
      </c>
      <c r="N2292" s="2" t="s">
        <v>367</v>
      </c>
      <c r="O2292" s="2" t="s">
        <v>183</v>
      </c>
      <c r="P2292" s="2" t="str">
        <f t="shared" si="38"/>
        <v>614099-AJUSTES POR INFLACION-SUBCUENTA</v>
      </c>
    </row>
    <row r="2293" spans="13:16" x14ac:dyDescent="0.25">
      <c r="M2293" s="34">
        <v>6145</v>
      </c>
      <c r="N2293" s="2" t="s">
        <v>1151</v>
      </c>
      <c r="O2293" s="2" t="s">
        <v>182</v>
      </c>
      <c r="P2293" s="2" t="str">
        <f t="shared" si="38"/>
        <v>6145-TRANSPORTE, ALMACENAMIENTO Y COMUNICACIONES-CUENTA</v>
      </c>
    </row>
    <row r="2294" spans="13:16" x14ac:dyDescent="0.25">
      <c r="M2294" s="34">
        <v>614505</v>
      </c>
      <c r="N2294" s="2" t="s">
        <v>1152</v>
      </c>
      <c r="O2294" s="2" t="s">
        <v>183</v>
      </c>
      <c r="P2294" s="2" t="str">
        <f t="shared" si="38"/>
        <v>614505-SERVICIO DE TRANSPORTE POR CARRETERA-SUBCUENTA</v>
      </c>
    </row>
    <row r="2295" spans="13:16" x14ac:dyDescent="0.25">
      <c r="M2295" s="34">
        <v>614510</v>
      </c>
      <c r="N2295" s="2" t="s">
        <v>1153</v>
      </c>
      <c r="O2295" s="2" t="s">
        <v>183</v>
      </c>
      <c r="P2295" s="2" t="str">
        <f t="shared" si="38"/>
        <v>614510-SERVICIO DE TRANSPORTE POR VIA FERREA-SUBCUENTA</v>
      </c>
    </row>
    <row r="2296" spans="13:16" x14ac:dyDescent="0.25">
      <c r="M2296" s="34">
        <v>614515</v>
      </c>
      <c r="N2296" s="2" t="s">
        <v>1154</v>
      </c>
      <c r="O2296" s="2" t="s">
        <v>183</v>
      </c>
      <c r="P2296" s="2" t="str">
        <f t="shared" si="38"/>
        <v>614515-SERVICIO DE TRANSPORTE POR VIA ACUATICA-SUBCUENTA</v>
      </c>
    </row>
    <row r="2297" spans="13:16" x14ac:dyDescent="0.25">
      <c r="M2297" s="34">
        <v>614520</v>
      </c>
      <c r="N2297" s="2" t="s">
        <v>1155</v>
      </c>
      <c r="O2297" s="2" t="s">
        <v>183</v>
      </c>
      <c r="P2297" s="2" t="str">
        <f t="shared" si="38"/>
        <v>614520-SERVICIO DE TRANSPORTE POR VIA AEREA-SUBCUENTA</v>
      </c>
    </row>
    <row r="2298" spans="13:16" x14ac:dyDescent="0.25">
      <c r="M2298" s="34">
        <v>614525</v>
      </c>
      <c r="N2298" s="2" t="s">
        <v>1156</v>
      </c>
      <c r="O2298" s="2" t="s">
        <v>183</v>
      </c>
      <c r="P2298" s="2" t="str">
        <f t="shared" si="38"/>
        <v>614525-SERVICIO DE TRANSPORTE POR TUBERIAS-SUBCUENTA</v>
      </c>
    </row>
    <row r="2299" spans="13:16" x14ac:dyDescent="0.25">
      <c r="M2299" s="34">
        <v>614530</v>
      </c>
      <c r="N2299" s="2" t="s">
        <v>1157</v>
      </c>
      <c r="O2299" s="2" t="s">
        <v>183</v>
      </c>
      <c r="P2299" s="2" t="str">
        <f t="shared" si="38"/>
        <v>614530-MANIPULACION DE CARGA-SUBCUENTA</v>
      </c>
    </row>
    <row r="2300" spans="13:16" x14ac:dyDescent="0.25">
      <c r="M2300" s="34">
        <v>614535</v>
      </c>
      <c r="N2300" s="2" t="s">
        <v>1158</v>
      </c>
      <c r="O2300" s="2" t="s">
        <v>183</v>
      </c>
      <c r="P2300" s="2" t="str">
        <f t="shared" si="38"/>
        <v>614535-ALMACENAMIENTO Y DEPOSITO-SUBCUENTA</v>
      </c>
    </row>
    <row r="2301" spans="13:16" x14ac:dyDescent="0.25">
      <c r="M2301" s="34">
        <v>614540</v>
      </c>
      <c r="N2301" s="2" t="s">
        <v>1159</v>
      </c>
      <c r="O2301" s="2" t="s">
        <v>183</v>
      </c>
      <c r="P2301" s="2" t="str">
        <f t="shared" si="38"/>
        <v>614540-SERVICIOS COMPLEMENTARIOS PARA EL TRANSPORTE-SUBCUENTA</v>
      </c>
    </row>
    <row r="2302" spans="13:16" x14ac:dyDescent="0.25">
      <c r="M2302" s="34">
        <v>614545</v>
      </c>
      <c r="N2302" s="2" t="s">
        <v>1160</v>
      </c>
      <c r="O2302" s="2" t="s">
        <v>183</v>
      </c>
      <c r="P2302" s="2" t="str">
        <f t="shared" si="38"/>
        <v>614545-AGENCIAS DE VIAJE-SUBCUENTA</v>
      </c>
    </row>
    <row r="2303" spans="13:16" x14ac:dyDescent="0.25">
      <c r="M2303" s="34">
        <v>614550</v>
      </c>
      <c r="N2303" s="2" t="s">
        <v>1161</v>
      </c>
      <c r="O2303" s="2" t="s">
        <v>183</v>
      </c>
      <c r="P2303" s="2" t="str">
        <f t="shared" si="38"/>
        <v>614550-OTRAS AGENCIAS DE TRANSPORTE-SUBCUENTA</v>
      </c>
    </row>
    <row r="2304" spans="13:16" x14ac:dyDescent="0.25">
      <c r="M2304" s="34">
        <v>614555</v>
      </c>
      <c r="N2304" s="2" t="s">
        <v>1162</v>
      </c>
      <c r="O2304" s="2" t="s">
        <v>183</v>
      </c>
      <c r="P2304" s="2" t="str">
        <f t="shared" si="38"/>
        <v>614555-SERVICIO POSTAL Y DE CORREO-SUBCUENTA</v>
      </c>
    </row>
    <row r="2305" spans="13:16" x14ac:dyDescent="0.25">
      <c r="M2305" s="34">
        <v>614560</v>
      </c>
      <c r="N2305" s="2" t="s">
        <v>1163</v>
      </c>
      <c r="O2305" s="2" t="s">
        <v>183</v>
      </c>
      <c r="P2305" s="2" t="str">
        <f t="shared" si="38"/>
        <v>614560-SERVICIO TELEFONICO-SUBCUENTA</v>
      </c>
    </row>
    <row r="2306" spans="13:16" x14ac:dyDescent="0.25">
      <c r="M2306" s="34">
        <v>614565</v>
      </c>
      <c r="N2306" s="2" t="s">
        <v>1164</v>
      </c>
      <c r="O2306" s="2" t="s">
        <v>183</v>
      </c>
      <c r="P2306" s="2" t="str">
        <f t="shared" si="38"/>
        <v>614565-SERVICIO DE TELEGRAFO-SUBCUENTA</v>
      </c>
    </row>
    <row r="2307" spans="13:16" x14ac:dyDescent="0.25">
      <c r="M2307" s="34">
        <v>614570</v>
      </c>
      <c r="N2307" s="2" t="s">
        <v>1165</v>
      </c>
      <c r="O2307" s="2" t="s">
        <v>183</v>
      </c>
      <c r="P2307" s="2" t="str">
        <f t="shared" si="38"/>
        <v>614570-SERVICIO DE TRANSMISION DE DATOS-SUBCUENTA</v>
      </c>
    </row>
    <row r="2308" spans="13:16" x14ac:dyDescent="0.25">
      <c r="M2308" s="34">
        <v>614575</v>
      </c>
      <c r="N2308" s="2" t="s">
        <v>1166</v>
      </c>
      <c r="O2308" s="2" t="s">
        <v>183</v>
      </c>
      <c r="P2308" s="2" t="str">
        <f t="shared" ref="P2308:P2371" si="39">IF(AND(M2308&lt;&gt;"",N2308&lt;&gt;"",O2308&lt;&gt;""),M2308&amp;"-"&amp;N2308&amp;"-"&amp;O2308,IF(AND(M2308="",N2308&lt;&gt;"",O2308&lt;&gt;""),N2308&amp;"-"&amp;O2308,IF(AND(M2308&lt;&gt;"",N2308="",O2308&lt;&gt;""),M2308&amp;"-"&amp;O2308,IF(AND(M2308&lt;&gt;"",N2308&lt;&gt;"",O2308=""),M2308&amp;"-"&amp;N2308,IF(AND(M2308&lt;&gt;"",N2308="",O2308=""),M2308,"")))))</f>
        <v>614575-SERVICIO DE RADIO Y TELEVISION POR CABLE-SUBCUENTA</v>
      </c>
    </row>
    <row r="2309" spans="13:16" x14ac:dyDescent="0.25">
      <c r="M2309" s="34">
        <v>614580</v>
      </c>
      <c r="N2309" s="2" t="s">
        <v>1167</v>
      </c>
      <c r="O2309" s="2" t="s">
        <v>183</v>
      </c>
      <c r="P2309" s="2" t="str">
        <f t="shared" si="39"/>
        <v>614580-TRANSMISION DE SONIDO E IMAGENES POR CONTRATO-SUBCUENTA</v>
      </c>
    </row>
    <row r="2310" spans="13:16" x14ac:dyDescent="0.25">
      <c r="M2310" s="34">
        <v>614595</v>
      </c>
      <c r="N2310" s="2" t="s">
        <v>992</v>
      </c>
      <c r="O2310" s="2" t="s">
        <v>183</v>
      </c>
      <c r="P2310" s="2" t="str">
        <f t="shared" si="39"/>
        <v>614595-ACTIVIDADES CONEXAS-SUBCUENTA</v>
      </c>
    </row>
    <row r="2311" spans="13:16" x14ac:dyDescent="0.25">
      <c r="M2311" s="34">
        <v>614599</v>
      </c>
      <c r="N2311" s="2" t="s">
        <v>367</v>
      </c>
      <c r="O2311" s="2" t="s">
        <v>183</v>
      </c>
      <c r="P2311" s="2" t="str">
        <f t="shared" si="39"/>
        <v>614599-AJUSTES POR INFLACION-SUBCUENTA</v>
      </c>
    </row>
    <row r="2312" spans="13:16" x14ac:dyDescent="0.25">
      <c r="M2312" s="34">
        <v>6150</v>
      </c>
      <c r="N2312" s="2" t="s">
        <v>1168</v>
      </c>
      <c r="O2312" s="2" t="s">
        <v>182</v>
      </c>
      <c r="P2312" s="2" t="str">
        <f t="shared" si="39"/>
        <v>6150-ACTIVIDAD FINANCIERA-CUENTA</v>
      </c>
    </row>
    <row r="2313" spans="13:16" x14ac:dyDescent="0.25">
      <c r="M2313" s="34">
        <v>615005</v>
      </c>
      <c r="N2313" s="2" t="s">
        <v>701</v>
      </c>
      <c r="O2313" s="2" t="s">
        <v>183</v>
      </c>
      <c r="P2313" s="2" t="str">
        <f t="shared" si="39"/>
        <v>615005-DE INVERSIONES-SUBCUENTA</v>
      </c>
    </row>
    <row r="2314" spans="13:16" x14ac:dyDescent="0.25">
      <c r="M2314" s="34">
        <v>615010</v>
      </c>
      <c r="N2314" s="2" t="s">
        <v>1459</v>
      </c>
      <c r="O2314" s="2" t="s">
        <v>183</v>
      </c>
      <c r="P2314" s="2" t="str">
        <f t="shared" si="39"/>
        <v>615010-DE SERVICIO DE BOLSA-SUBCUENTA</v>
      </c>
    </row>
    <row r="2315" spans="13:16" x14ac:dyDescent="0.25">
      <c r="M2315" s="34">
        <v>615099</v>
      </c>
      <c r="N2315" s="2" t="s">
        <v>367</v>
      </c>
      <c r="O2315" s="2" t="s">
        <v>183</v>
      </c>
      <c r="P2315" s="2" t="str">
        <f t="shared" si="39"/>
        <v>615099-AJUSTES POR INFLACION-SUBCUENTA</v>
      </c>
    </row>
    <row r="2316" spans="13:16" x14ac:dyDescent="0.25">
      <c r="M2316" s="34">
        <v>6155</v>
      </c>
      <c r="N2316" s="2" t="s">
        <v>1182</v>
      </c>
      <c r="O2316" s="2" t="s">
        <v>182</v>
      </c>
      <c r="P2316" s="2" t="str">
        <f t="shared" si="39"/>
        <v>6155-ACTIVIDADES INMOBILIARIAS, EMPRESARIALES Y DE ALQUILER-CUENTA</v>
      </c>
    </row>
    <row r="2317" spans="13:16" x14ac:dyDescent="0.25">
      <c r="M2317" s="34">
        <v>615505</v>
      </c>
      <c r="N2317" s="2" t="s">
        <v>1183</v>
      </c>
      <c r="O2317" s="2" t="s">
        <v>183</v>
      </c>
      <c r="P2317" s="2" t="str">
        <f t="shared" si="39"/>
        <v>615505-ARRENDAMIENTOS DE BIENES INMUEBLES-SUBCUENTA</v>
      </c>
    </row>
    <row r="2318" spans="13:16" x14ac:dyDescent="0.25">
      <c r="M2318" s="34">
        <v>615510</v>
      </c>
      <c r="N2318" s="2" t="s">
        <v>1184</v>
      </c>
      <c r="O2318" s="2" t="s">
        <v>183</v>
      </c>
      <c r="P2318" s="2" t="str">
        <f t="shared" si="39"/>
        <v>615510-INMOBILIARIAS POR RETRIBUCION O CONTRATA-SUBCUENTA</v>
      </c>
    </row>
    <row r="2319" spans="13:16" x14ac:dyDescent="0.25">
      <c r="M2319" s="34">
        <v>615515</v>
      </c>
      <c r="N2319" s="2" t="s">
        <v>1185</v>
      </c>
      <c r="O2319" s="2" t="s">
        <v>183</v>
      </c>
      <c r="P2319" s="2" t="str">
        <f t="shared" si="39"/>
        <v>615515-ALQUILER EQUIPO DE TRANSPORTE-SUBCUENTA</v>
      </c>
    </row>
    <row r="2320" spans="13:16" x14ac:dyDescent="0.25">
      <c r="M2320" s="34">
        <v>615520</v>
      </c>
      <c r="N2320" s="2" t="s">
        <v>1186</v>
      </c>
      <c r="O2320" s="2" t="s">
        <v>183</v>
      </c>
      <c r="P2320" s="2" t="str">
        <f t="shared" si="39"/>
        <v>615520-ALQUILER MAQUINARIA Y EQUIPO-SUBCUENTA</v>
      </c>
    </row>
    <row r="2321" spans="13:16" x14ac:dyDescent="0.25">
      <c r="M2321" s="34">
        <v>615525</v>
      </c>
      <c r="N2321" s="2" t="s">
        <v>1187</v>
      </c>
      <c r="O2321" s="2" t="s">
        <v>183</v>
      </c>
      <c r="P2321" s="2" t="str">
        <f t="shared" si="39"/>
        <v>615525-ALQUILER DE EFECTOS PERSONALES Y ENSERES DOMESTICOS-SUBCUENTA</v>
      </c>
    </row>
    <row r="2322" spans="13:16" x14ac:dyDescent="0.25">
      <c r="M2322" s="34">
        <v>615530</v>
      </c>
      <c r="N2322" s="2" t="s">
        <v>1188</v>
      </c>
      <c r="O2322" s="2" t="s">
        <v>183</v>
      </c>
      <c r="P2322" s="2" t="str">
        <f t="shared" si="39"/>
        <v>615530-CONSULTORIA EN EQUIPO Y PROGRAMAS DE INFORMATICA-SUBCUENTA</v>
      </c>
    </row>
    <row r="2323" spans="13:16" x14ac:dyDescent="0.25">
      <c r="M2323" s="34">
        <v>615535</v>
      </c>
      <c r="N2323" s="2" t="s">
        <v>1189</v>
      </c>
      <c r="O2323" s="2" t="s">
        <v>183</v>
      </c>
      <c r="P2323" s="2" t="str">
        <f t="shared" si="39"/>
        <v>615535-PROCESAMIENTO DE DATOS-SUBCUENTA</v>
      </c>
    </row>
    <row r="2324" spans="13:16" x14ac:dyDescent="0.25">
      <c r="M2324" s="34">
        <v>615540</v>
      </c>
      <c r="N2324" s="2" t="s">
        <v>1190</v>
      </c>
      <c r="O2324" s="2" t="s">
        <v>183</v>
      </c>
      <c r="P2324" s="2" t="str">
        <f t="shared" si="39"/>
        <v>615540-MANTENIMIENTO Y REPARACION DE MAQUINARIA DE OFICINA-SUBCUENTA</v>
      </c>
    </row>
    <row r="2325" spans="13:16" x14ac:dyDescent="0.25">
      <c r="M2325" s="34">
        <v>615545</v>
      </c>
      <c r="N2325" s="2" t="s">
        <v>1191</v>
      </c>
      <c r="O2325" s="2" t="s">
        <v>183</v>
      </c>
      <c r="P2325" s="2" t="str">
        <f t="shared" si="39"/>
        <v>615545-INVESTIGACIONES CIENTIFICAS Y DE DESARROLLO-SUBCUENTA</v>
      </c>
    </row>
    <row r="2326" spans="13:16" x14ac:dyDescent="0.25">
      <c r="M2326" s="34">
        <v>615550</v>
      </c>
      <c r="N2326" s="2" t="s">
        <v>1192</v>
      </c>
      <c r="O2326" s="2" t="s">
        <v>183</v>
      </c>
      <c r="P2326" s="2" t="str">
        <f t="shared" si="39"/>
        <v>615550-ACTIVIDADES EMPRESARIALES DE CONSULTORIA-SUBCUENTA</v>
      </c>
    </row>
    <row r="2327" spans="13:16" x14ac:dyDescent="0.25">
      <c r="M2327" s="34">
        <v>615555</v>
      </c>
      <c r="N2327" s="2" t="s">
        <v>1193</v>
      </c>
      <c r="O2327" s="2" t="s">
        <v>183</v>
      </c>
      <c r="P2327" s="2" t="str">
        <f t="shared" si="39"/>
        <v>615555-PUBLICIDAD-SUBCUENTA</v>
      </c>
    </row>
    <row r="2328" spans="13:16" x14ac:dyDescent="0.25">
      <c r="M2328" s="34">
        <v>615560</v>
      </c>
      <c r="N2328" s="2" t="s">
        <v>1194</v>
      </c>
      <c r="O2328" s="2" t="s">
        <v>183</v>
      </c>
      <c r="P2328" s="2" t="str">
        <f t="shared" si="39"/>
        <v>615560-DOTACION DE PERSONAL-SUBCUENTA</v>
      </c>
    </row>
    <row r="2329" spans="13:16" x14ac:dyDescent="0.25">
      <c r="M2329" s="34">
        <v>615565</v>
      </c>
      <c r="N2329" s="2" t="s">
        <v>1195</v>
      </c>
      <c r="O2329" s="2" t="s">
        <v>183</v>
      </c>
      <c r="P2329" s="2" t="str">
        <f t="shared" si="39"/>
        <v>615565-INVESTIGACION Y SEGURIDAD-SUBCUENTA</v>
      </c>
    </row>
    <row r="2330" spans="13:16" x14ac:dyDescent="0.25">
      <c r="M2330" s="34">
        <v>615570</v>
      </c>
      <c r="N2330" s="2" t="s">
        <v>1196</v>
      </c>
      <c r="O2330" s="2" t="s">
        <v>183</v>
      </c>
      <c r="P2330" s="2" t="str">
        <f t="shared" si="39"/>
        <v>615570-LIMPIEZA DE INMUEBLES-SUBCUENTA</v>
      </c>
    </row>
    <row r="2331" spans="13:16" x14ac:dyDescent="0.25">
      <c r="M2331" s="34">
        <v>615575</v>
      </c>
      <c r="N2331" s="2" t="s">
        <v>1197</v>
      </c>
      <c r="O2331" s="2" t="s">
        <v>183</v>
      </c>
      <c r="P2331" s="2" t="str">
        <f t="shared" si="39"/>
        <v>615575-FOTOGRAFIA-SUBCUENTA</v>
      </c>
    </row>
    <row r="2332" spans="13:16" x14ac:dyDescent="0.25">
      <c r="M2332" s="34">
        <v>615580</v>
      </c>
      <c r="N2332" s="2" t="s">
        <v>1198</v>
      </c>
      <c r="O2332" s="2" t="s">
        <v>183</v>
      </c>
      <c r="P2332" s="2" t="str">
        <f t="shared" si="39"/>
        <v>615580-ENVASE Y EMPAQUE-SUBCUENTA</v>
      </c>
    </row>
    <row r="2333" spans="13:16" x14ac:dyDescent="0.25">
      <c r="M2333" s="34">
        <v>615585</v>
      </c>
      <c r="N2333" s="2" t="s">
        <v>1199</v>
      </c>
      <c r="O2333" s="2" t="s">
        <v>183</v>
      </c>
      <c r="P2333" s="2" t="str">
        <f t="shared" si="39"/>
        <v>615585-FOTOCOPIADO-SUBCUENTA</v>
      </c>
    </row>
    <row r="2334" spans="13:16" x14ac:dyDescent="0.25">
      <c r="M2334" s="34">
        <v>615590</v>
      </c>
      <c r="N2334" s="2" t="s">
        <v>1200</v>
      </c>
      <c r="O2334" s="2" t="s">
        <v>183</v>
      </c>
      <c r="P2334" s="2" t="str">
        <f t="shared" si="39"/>
        <v>615590-MANTENIMIENTO Y REPARACION DE MAQUINARIA Y EQUIPO-SUBCUENTA</v>
      </c>
    </row>
    <row r="2335" spans="13:16" x14ac:dyDescent="0.25">
      <c r="M2335" s="34">
        <v>615595</v>
      </c>
      <c r="N2335" s="2" t="s">
        <v>992</v>
      </c>
      <c r="O2335" s="2" t="s">
        <v>183</v>
      </c>
      <c r="P2335" s="2" t="str">
        <f t="shared" si="39"/>
        <v>615595-ACTIVIDADES CONEXAS-SUBCUENTA</v>
      </c>
    </row>
    <row r="2336" spans="13:16" x14ac:dyDescent="0.25">
      <c r="M2336" s="34">
        <v>615599</v>
      </c>
      <c r="N2336" s="2" t="s">
        <v>367</v>
      </c>
      <c r="O2336" s="2" t="s">
        <v>183</v>
      </c>
      <c r="P2336" s="2" t="str">
        <f t="shared" si="39"/>
        <v>615599-AJUSTES POR INFLACION-SUBCUENTA</v>
      </c>
    </row>
    <row r="2337" spans="13:16" x14ac:dyDescent="0.25">
      <c r="M2337" s="34">
        <v>6160</v>
      </c>
      <c r="N2337" s="2" t="s">
        <v>1201</v>
      </c>
      <c r="O2337" s="2" t="s">
        <v>182</v>
      </c>
      <c r="P2337" s="2" t="str">
        <f t="shared" si="39"/>
        <v>6160-ENSEÑANZA-CUENTA</v>
      </c>
    </row>
    <row r="2338" spans="13:16" x14ac:dyDescent="0.25">
      <c r="M2338" s="34">
        <v>616005</v>
      </c>
      <c r="N2338" s="2" t="s">
        <v>1202</v>
      </c>
      <c r="O2338" s="2" t="s">
        <v>183</v>
      </c>
      <c r="P2338" s="2" t="str">
        <f t="shared" si="39"/>
        <v>616005-ACTIVIDADES RELACIONADAS CON LA EDUCACION-SUBCUENTA</v>
      </c>
    </row>
    <row r="2339" spans="13:16" x14ac:dyDescent="0.25">
      <c r="M2339" s="34">
        <v>610595</v>
      </c>
      <c r="N2339" s="2" t="s">
        <v>992</v>
      </c>
      <c r="O2339" s="2" t="s">
        <v>183</v>
      </c>
      <c r="P2339" s="2" t="str">
        <f t="shared" si="39"/>
        <v>610595-ACTIVIDADES CONEXAS-SUBCUENTA</v>
      </c>
    </row>
    <row r="2340" spans="13:16" x14ac:dyDescent="0.25">
      <c r="M2340" s="34">
        <v>616099</v>
      </c>
      <c r="N2340" s="2" t="s">
        <v>367</v>
      </c>
      <c r="O2340" s="2" t="s">
        <v>183</v>
      </c>
      <c r="P2340" s="2" t="str">
        <f t="shared" si="39"/>
        <v>616099-AJUSTES POR INFLACION-SUBCUENTA</v>
      </c>
    </row>
    <row r="2341" spans="13:16" x14ac:dyDescent="0.25">
      <c r="M2341" s="34">
        <v>6165</v>
      </c>
      <c r="N2341" s="2" t="s">
        <v>1203</v>
      </c>
      <c r="O2341" s="2" t="s">
        <v>182</v>
      </c>
      <c r="P2341" s="2" t="str">
        <f t="shared" si="39"/>
        <v>6165-SERVICIOS SOCIALES Y DE SALUD-CUENTA</v>
      </c>
    </row>
    <row r="2342" spans="13:16" x14ac:dyDescent="0.25">
      <c r="M2342" s="34">
        <v>616505</v>
      </c>
      <c r="N2342" s="2" t="s">
        <v>1204</v>
      </c>
      <c r="O2342" s="2" t="s">
        <v>183</v>
      </c>
      <c r="P2342" s="2" t="str">
        <f t="shared" si="39"/>
        <v>616505-SERVICIO HOSPITALARIO-SUBCUENTA</v>
      </c>
    </row>
    <row r="2343" spans="13:16" x14ac:dyDescent="0.25">
      <c r="M2343" s="34">
        <v>616510</v>
      </c>
      <c r="N2343" s="2" t="s">
        <v>1205</v>
      </c>
      <c r="O2343" s="2" t="s">
        <v>183</v>
      </c>
      <c r="P2343" s="2" t="str">
        <f t="shared" si="39"/>
        <v>616510-SERVICIO MEDICO-SUBCUENTA</v>
      </c>
    </row>
    <row r="2344" spans="13:16" x14ac:dyDescent="0.25">
      <c r="M2344" s="34">
        <v>616515</v>
      </c>
      <c r="N2344" s="2" t="s">
        <v>1206</v>
      </c>
      <c r="O2344" s="2" t="s">
        <v>183</v>
      </c>
      <c r="P2344" s="2" t="str">
        <f t="shared" si="39"/>
        <v>616515-SERVICIO ODONTOLOGICO-SUBCUENTA</v>
      </c>
    </row>
    <row r="2345" spans="13:16" x14ac:dyDescent="0.25">
      <c r="M2345" s="34">
        <v>616520</v>
      </c>
      <c r="N2345" s="2" t="s">
        <v>1207</v>
      </c>
      <c r="O2345" s="2" t="s">
        <v>183</v>
      </c>
      <c r="P2345" s="2" t="str">
        <f t="shared" si="39"/>
        <v>616520-SERVICIO DE LABORATORIO-SUBCUENTA</v>
      </c>
    </row>
    <row r="2346" spans="13:16" x14ac:dyDescent="0.25">
      <c r="M2346" s="34">
        <v>616525</v>
      </c>
      <c r="N2346" s="2" t="s">
        <v>1208</v>
      </c>
      <c r="O2346" s="2" t="s">
        <v>183</v>
      </c>
      <c r="P2346" s="2" t="str">
        <f t="shared" si="39"/>
        <v>616525-ACTIVIDADES VETERINARIAS-SUBCUENTA</v>
      </c>
    </row>
    <row r="2347" spans="13:16" x14ac:dyDescent="0.25">
      <c r="M2347" s="34">
        <v>616530</v>
      </c>
      <c r="N2347" s="2" t="s">
        <v>1209</v>
      </c>
      <c r="O2347" s="2" t="s">
        <v>183</v>
      </c>
      <c r="P2347" s="2" t="str">
        <f t="shared" si="39"/>
        <v>616530-ACTIVIDADES DE SERVICIOS SOCIALES-SUBCUENTA</v>
      </c>
    </row>
    <row r="2348" spans="13:16" x14ac:dyDescent="0.25">
      <c r="M2348" s="34">
        <v>616595</v>
      </c>
      <c r="N2348" s="2" t="s">
        <v>992</v>
      </c>
      <c r="O2348" s="2" t="s">
        <v>183</v>
      </c>
      <c r="P2348" s="2" t="str">
        <f t="shared" si="39"/>
        <v>616595-ACTIVIDADES CONEXAS-SUBCUENTA</v>
      </c>
    </row>
    <row r="2349" spans="13:16" x14ac:dyDescent="0.25">
      <c r="M2349" s="34">
        <v>616599</v>
      </c>
      <c r="N2349" s="2" t="s">
        <v>367</v>
      </c>
      <c r="O2349" s="2" t="s">
        <v>183</v>
      </c>
      <c r="P2349" s="2" t="str">
        <f t="shared" si="39"/>
        <v>616599-AJUSTES POR INFLACION-SUBCUENTA</v>
      </c>
    </row>
    <row r="2350" spans="13:16" x14ac:dyDescent="0.25">
      <c r="M2350" s="34">
        <v>6170</v>
      </c>
      <c r="N2350" s="2" t="s">
        <v>1210</v>
      </c>
      <c r="O2350" s="2" t="s">
        <v>182</v>
      </c>
      <c r="P2350" s="2" t="str">
        <f t="shared" si="39"/>
        <v>6170-OTRAS ACTIVIDADES DE SERVICIOS COMUNITARIOS, SOCIALES Y PERSONALES-CUENTA</v>
      </c>
    </row>
    <row r="2351" spans="13:16" x14ac:dyDescent="0.25">
      <c r="M2351" s="34">
        <v>617005</v>
      </c>
      <c r="N2351" s="2" t="s">
        <v>1211</v>
      </c>
      <c r="O2351" s="2" t="s">
        <v>183</v>
      </c>
      <c r="P2351" s="2" t="str">
        <f t="shared" si="39"/>
        <v>617005-ELIMINACION DE DESPERDICIOS Y AGUAS RESIDUALES-SUBCUENTA</v>
      </c>
    </row>
    <row r="2352" spans="13:16" x14ac:dyDescent="0.25">
      <c r="M2352" s="34">
        <v>617010</v>
      </c>
      <c r="N2352" s="2" t="s">
        <v>1212</v>
      </c>
      <c r="O2352" s="2" t="s">
        <v>183</v>
      </c>
      <c r="P2352" s="2" t="str">
        <f t="shared" si="39"/>
        <v>617010-ACTIVIDADES DE ASOCIACION-SUBCUENTA</v>
      </c>
    </row>
    <row r="2353" spans="13:16" x14ac:dyDescent="0.25">
      <c r="M2353" s="34">
        <v>617015</v>
      </c>
      <c r="N2353" s="2" t="s">
        <v>1213</v>
      </c>
      <c r="O2353" s="2" t="s">
        <v>183</v>
      </c>
      <c r="P2353" s="2" t="str">
        <f t="shared" si="39"/>
        <v>617015-PRODUCCION Y DISTRIBUCION DE FILMES Y VIDEOCINTAS-SUBCUENTA</v>
      </c>
    </row>
    <row r="2354" spans="13:16" x14ac:dyDescent="0.25">
      <c r="M2354" s="34">
        <v>617020</v>
      </c>
      <c r="N2354" s="2" t="s">
        <v>1214</v>
      </c>
      <c r="O2354" s="2" t="s">
        <v>183</v>
      </c>
      <c r="P2354" s="2" t="str">
        <f t="shared" si="39"/>
        <v>617020-EXHIBICION DE FILMES Y VIDEOCINTAS-SUBCUENTA</v>
      </c>
    </row>
    <row r="2355" spans="13:16" x14ac:dyDescent="0.25">
      <c r="M2355" s="34">
        <v>617025</v>
      </c>
      <c r="N2355" s="2" t="s">
        <v>1215</v>
      </c>
      <c r="O2355" s="2" t="s">
        <v>183</v>
      </c>
      <c r="P2355" s="2" t="str">
        <f t="shared" si="39"/>
        <v>617025-ACTIVIDAD DE RADIO Y TELEVISION-SUBCUENTA</v>
      </c>
    </row>
    <row r="2356" spans="13:16" x14ac:dyDescent="0.25">
      <c r="M2356" s="34">
        <v>617030</v>
      </c>
      <c r="N2356" s="2" t="s">
        <v>1216</v>
      </c>
      <c r="O2356" s="2" t="s">
        <v>183</v>
      </c>
      <c r="P2356" s="2" t="str">
        <f t="shared" si="39"/>
        <v>617030-ACTIVIDAD TEATRAL, MUSICAL Y ARTISTICA-SUBCUENTA</v>
      </c>
    </row>
    <row r="2357" spans="13:16" x14ac:dyDescent="0.25">
      <c r="M2357" s="34">
        <v>617035</v>
      </c>
      <c r="N2357" s="2" t="s">
        <v>1217</v>
      </c>
      <c r="O2357" s="2" t="s">
        <v>183</v>
      </c>
      <c r="P2357" s="2" t="str">
        <f t="shared" si="39"/>
        <v>617035-GRABACION Y PRODUCCION DE DISCOS-SUBCUENTA</v>
      </c>
    </row>
    <row r="2358" spans="13:16" x14ac:dyDescent="0.25">
      <c r="M2358" s="34">
        <v>617040</v>
      </c>
      <c r="N2358" s="2" t="s">
        <v>1218</v>
      </c>
      <c r="O2358" s="2" t="s">
        <v>183</v>
      </c>
      <c r="P2358" s="2" t="str">
        <f t="shared" si="39"/>
        <v>617040-ENTRETENIMIENTO Y ESPARCIMIENTO-SUBCUENTA</v>
      </c>
    </row>
    <row r="2359" spans="13:16" x14ac:dyDescent="0.25">
      <c r="M2359" s="34">
        <v>617045</v>
      </c>
      <c r="N2359" s="2" t="s">
        <v>1219</v>
      </c>
      <c r="O2359" s="2" t="s">
        <v>183</v>
      </c>
      <c r="P2359" s="2" t="str">
        <f t="shared" si="39"/>
        <v>617045-AGENCIAS DE NOTICIAS-SUBCUENTA</v>
      </c>
    </row>
    <row r="2360" spans="13:16" x14ac:dyDescent="0.25">
      <c r="M2360" s="34">
        <v>617050</v>
      </c>
      <c r="N2360" s="2" t="s">
        <v>1220</v>
      </c>
      <c r="O2360" s="2" t="s">
        <v>183</v>
      </c>
      <c r="P2360" s="2" t="str">
        <f t="shared" si="39"/>
        <v>617050-LAVANDERIAS Y SIMILARES-SUBCUENTA</v>
      </c>
    </row>
    <row r="2361" spans="13:16" x14ac:dyDescent="0.25">
      <c r="M2361" s="34">
        <v>617055</v>
      </c>
      <c r="N2361" s="2" t="s">
        <v>1221</v>
      </c>
      <c r="O2361" s="2" t="s">
        <v>183</v>
      </c>
      <c r="P2361" s="2" t="str">
        <f t="shared" si="39"/>
        <v>617055-PELUQUERIAS Y SIMILARES-SUBCUENTA</v>
      </c>
    </row>
    <row r="2362" spans="13:16" x14ac:dyDescent="0.25">
      <c r="M2362" s="34">
        <v>617060</v>
      </c>
      <c r="N2362" s="2" t="s">
        <v>1222</v>
      </c>
      <c r="O2362" s="2" t="s">
        <v>183</v>
      </c>
      <c r="P2362" s="2" t="str">
        <f t="shared" si="39"/>
        <v>617060-SERVICIOS FUNERARIOS-SUBCUENTA</v>
      </c>
    </row>
    <row r="2363" spans="13:16" x14ac:dyDescent="0.25">
      <c r="M2363" s="34">
        <v>617065</v>
      </c>
      <c r="N2363" s="2" t="s">
        <v>1223</v>
      </c>
      <c r="O2363" s="2" t="s">
        <v>183</v>
      </c>
      <c r="P2363" s="2" t="str">
        <f t="shared" si="39"/>
        <v>617065-ZONAS FRANCAS-SUBCUENTA</v>
      </c>
    </row>
    <row r="2364" spans="13:16" x14ac:dyDescent="0.25">
      <c r="M2364" s="34">
        <v>617095</v>
      </c>
      <c r="N2364" s="2" t="s">
        <v>992</v>
      </c>
      <c r="O2364" s="2" t="s">
        <v>183</v>
      </c>
      <c r="P2364" s="2" t="str">
        <f t="shared" si="39"/>
        <v>617095-ACTIVIDADES CONEXAS-SUBCUENTA</v>
      </c>
    </row>
    <row r="2365" spans="13:16" x14ac:dyDescent="0.25">
      <c r="M2365" s="34">
        <v>617099</v>
      </c>
      <c r="N2365" s="2" t="s">
        <v>367</v>
      </c>
      <c r="O2365" s="2" t="s">
        <v>183</v>
      </c>
      <c r="P2365" s="2" t="str">
        <f t="shared" si="39"/>
        <v>617099-AJUSTES POR INFLACION-SUBCUENTA</v>
      </c>
    </row>
    <row r="2366" spans="13:16" x14ac:dyDescent="0.25">
      <c r="M2366" s="34">
        <v>62</v>
      </c>
      <c r="N2366" s="2" t="s">
        <v>752</v>
      </c>
      <c r="O2366" s="2" t="s">
        <v>181</v>
      </c>
      <c r="P2366" s="2" t="str">
        <f t="shared" si="39"/>
        <v>62-COMPRAS-GRUPO</v>
      </c>
    </row>
    <row r="2367" spans="13:16" x14ac:dyDescent="0.25">
      <c r="M2367" s="34">
        <v>6205</v>
      </c>
      <c r="N2367" s="2" t="s">
        <v>1460</v>
      </c>
      <c r="O2367" s="2" t="s">
        <v>182</v>
      </c>
      <c r="P2367" s="2" t="str">
        <f t="shared" si="39"/>
        <v>6205-DE MERCANCIAS-CUENTA</v>
      </c>
    </row>
    <row r="2368" spans="13:16" x14ac:dyDescent="0.25">
      <c r="M2368" s="34" t="s">
        <v>273</v>
      </c>
      <c r="N2368" s="2" t="s">
        <v>188</v>
      </c>
      <c r="O2368" s="2" t="s">
        <v>188</v>
      </c>
      <c r="P2368" s="2" t="str">
        <f t="shared" si="39"/>
        <v xml:space="preserve">620501 a 620598 </v>
      </c>
    </row>
    <row r="2369" spans="13:16" x14ac:dyDescent="0.25">
      <c r="M2369" s="34">
        <v>620599</v>
      </c>
      <c r="N2369" s="2" t="s">
        <v>367</v>
      </c>
      <c r="O2369" s="2" t="s">
        <v>183</v>
      </c>
      <c r="P2369" s="2" t="str">
        <f t="shared" si="39"/>
        <v>620599-AJUSTES POR INFLACION-SUBCUENTA</v>
      </c>
    </row>
    <row r="2370" spans="13:16" x14ac:dyDescent="0.25">
      <c r="M2370" s="34">
        <v>6210</v>
      </c>
      <c r="N2370" s="2" t="s">
        <v>1461</v>
      </c>
      <c r="O2370" s="2" t="s">
        <v>182</v>
      </c>
      <c r="P2370" s="2" t="str">
        <f t="shared" si="39"/>
        <v>6210-DE MATERIAS PRIMAS-CUENTA</v>
      </c>
    </row>
    <row r="2371" spans="13:16" x14ac:dyDescent="0.25">
      <c r="M2371" s="34" t="s">
        <v>274</v>
      </c>
      <c r="N2371" s="2" t="s">
        <v>188</v>
      </c>
      <c r="O2371" s="2" t="s">
        <v>188</v>
      </c>
      <c r="P2371" s="2" t="str">
        <f t="shared" si="39"/>
        <v xml:space="preserve">621001 a 621098 </v>
      </c>
    </row>
    <row r="2372" spans="13:16" x14ac:dyDescent="0.25">
      <c r="M2372" s="34">
        <v>621099</v>
      </c>
      <c r="N2372" s="2" t="s">
        <v>367</v>
      </c>
      <c r="O2372" s="2" t="s">
        <v>183</v>
      </c>
      <c r="P2372" s="2" t="str">
        <f t="shared" ref="P2372:P2435" si="40">IF(AND(M2372&lt;&gt;"",N2372&lt;&gt;"",O2372&lt;&gt;""),M2372&amp;"-"&amp;N2372&amp;"-"&amp;O2372,IF(AND(M2372="",N2372&lt;&gt;"",O2372&lt;&gt;""),N2372&amp;"-"&amp;O2372,IF(AND(M2372&lt;&gt;"",N2372="",O2372&lt;&gt;""),M2372&amp;"-"&amp;O2372,IF(AND(M2372&lt;&gt;"",N2372&lt;&gt;"",O2372=""),M2372&amp;"-"&amp;N2372,IF(AND(M2372&lt;&gt;"",N2372="",O2372=""),M2372,"")))))</f>
        <v>621099-AJUSTES POR INFLACION-SUBCUENTA</v>
      </c>
    </row>
    <row r="2373" spans="13:16" x14ac:dyDescent="0.25">
      <c r="M2373" s="34">
        <v>6215</v>
      </c>
      <c r="N2373" s="2" t="s">
        <v>1462</v>
      </c>
      <c r="O2373" s="2" t="s">
        <v>182</v>
      </c>
      <c r="P2373" s="2" t="str">
        <f t="shared" si="40"/>
        <v>6215-DE MATERIALES INDIRECTOS-CUENTA</v>
      </c>
    </row>
    <row r="2374" spans="13:16" x14ac:dyDescent="0.25">
      <c r="M2374" s="34" t="s">
        <v>275</v>
      </c>
      <c r="N2374" s="2" t="s">
        <v>188</v>
      </c>
      <c r="O2374" s="2" t="s">
        <v>188</v>
      </c>
      <c r="P2374" s="2" t="str">
        <f t="shared" si="40"/>
        <v xml:space="preserve">621501 a 621598 </v>
      </c>
    </row>
    <row r="2375" spans="13:16" x14ac:dyDescent="0.25">
      <c r="M2375" s="34">
        <v>621599</v>
      </c>
      <c r="N2375" s="2" t="s">
        <v>367</v>
      </c>
      <c r="O2375" s="2" t="s">
        <v>183</v>
      </c>
      <c r="P2375" s="2" t="str">
        <f t="shared" si="40"/>
        <v>621599-AJUSTES POR INFLACION-SUBCUENTA</v>
      </c>
    </row>
    <row r="2376" spans="13:16" x14ac:dyDescent="0.25">
      <c r="M2376" s="34">
        <v>6220</v>
      </c>
      <c r="N2376" s="2" t="s">
        <v>1463</v>
      </c>
      <c r="O2376" s="2" t="s">
        <v>182</v>
      </c>
      <c r="P2376" s="2" t="str">
        <f t="shared" si="40"/>
        <v>6220-COMPRA DE ENERGIA-CUENTA</v>
      </c>
    </row>
    <row r="2377" spans="13:16" x14ac:dyDescent="0.25">
      <c r="M2377" s="34" t="s">
        <v>276</v>
      </c>
      <c r="N2377" s="2" t="s">
        <v>188</v>
      </c>
      <c r="O2377" s="2" t="s">
        <v>188</v>
      </c>
      <c r="P2377" s="2" t="str">
        <f t="shared" si="40"/>
        <v xml:space="preserve">622001 a 622098 </v>
      </c>
    </row>
    <row r="2378" spans="13:16" x14ac:dyDescent="0.25">
      <c r="M2378" s="34">
        <v>622099</v>
      </c>
      <c r="N2378" s="2" t="s">
        <v>367</v>
      </c>
      <c r="O2378" s="2" t="s">
        <v>183</v>
      </c>
      <c r="P2378" s="2" t="str">
        <f t="shared" si="40"/>
        <v>622099-AJUSTES POR INFLACION-SUBCUENTA</v>
      </c>
    </row>
    <row r="2379" spans="13:16" x14ac:dyDescent="0.25">
      <c r="M2379" s="34">
        <v>6225</v>
      </c>
      <c r="N2379" s="2" t="s">
        <v>1464</v>
      </c>
      <c r="O2379" s="2" t="s">
        <v>182</v>
      </c>
      <c r="P2379" s="2" t="str">
        <f t="shared" si="40"/>
        <v>6225-DEVOLUCIONES REBAJAS Y DESCUENTOS EN COMPRAS (CR)-CUENTA</v>
      </c>
    </row>
    <row r="2380" spans="13:16" x14ac:dyDescent="0.25">
      <c r="M2380" s="34" t="s">
        <v>277</v>
      </c>
      <c r="N2380" s="2" t="s">
        <v>188</v>
      </c>
      <c r="O2380" s="2" t="s">
        <v>188</v>
      </c>
      <c r="P2380" s="2" t="str">
        <f t="shared" si="40"/>
        <v xml:space="preserve">622501 a 622598 </v>
      </c>
    </row>
    <row r="2381" spans="13:16" x14ac:dyDescent="0.25">
      <c r="M2381" s="34">
        <v>622599</v>
      </c>
      <c r="N2381" s="2" t="s">
        <v>367</v>
      </c>
      <c r="O2381" s="2" t="s">
        <v>183</v>
      </c>
      <c r="P2381" s="2" t="str">
        <f t="shared" si="40"/>
        <v>622599-AJUSTES POR INFLACION-SUBCUENTA</v>
      </c>
    </row>
    <row r="2382" spans="13:16" x14ac:dyDescent="0.25">
      <c r="M2382" s="34">
        <v>7</v>
      </c>
      <c r="N2382" s="2" t="s">
        <v>1465</v>
      </c>
      <c r="O2382" s="2" t="s">
        <v>180</v>
      </c>
      <c r="P2382" s="2" t="str">
        <f t="shared" si="40"/>
        <v>7-COSTOS DE PRODUCCION O DE OPERACION-CLASE</v>
      </c>
    </row>
    <row r="2383" spans="13:16" x14ac:dyDescent="0.25">
      <c r="M2383" s="34">
        <v>71</v>
      </c>
      <c r="N2383" s="2" t="s">
        <v>1227</v>
      </c>
      <c r="O2383" s="2" t="s">
        <v>181</v>
      </c>
      <c r="P2383" s="2" t="str">
        <f t="shared" si="40"/>
        <v>71-MATERIA PRIMA-GRUPO</v>
      </c>
    </row>
    <row r="2384" spans="13:16" x14ac:dyDescent="0.25">
      <c r="M2384" s="34" t="s">
        <v>278</v>
      </c>
      <c r="N2384" s="2" t="s">
        <v>188</v>
      </c>
      <c r="O2384" s="2" t="s">
        <v>188</v>
      </c>
      <c r="P2384" s="2" t="str">
        <f t="shared" si="40"/>
        <v xml:space="preserve">7101 a 7199 </v>
      </c>
    </row>
    <row r="2385" spans="13:16" x14ac:dyDescent="0.25">
      <c r="M2385" s="34" t="s">
        <v>279</v>
      </c>
      <c r="N2385" s="2" t="s">
        <v>188</v>
      </c>
      <c r="O2385" s="2" t="s">
        <v>188</v>
      </c>
      <c r="P2385" s="2" t="str">
        <f t="shared" si="40"/>
        <v xml:space="preserve">710101 a 719999 </v>
      </c>
    </row>
    <row r="2386" spans="13:16" x14ac:dyDescent="0.25">
      <c r="M2386" s="34">
        <v>72</v>
      </c>
      <c r="N2386" s="2" t="s">
        <v>1466</v>
      </c>
      <c r="O2386" s="2" t="s">
        <v>181</v>
      </c>
      <c r="P2386" s="2" t="str">
        <f t="shared" si="40"/>
        <v>72-MANO DE OBRA DIRECTA-GRUPO</v>
      </c>
    </row>
    <row r="2387" spans="13:16" x14ac:dyDescent="0.25">
      <c r="M2387" s="34" t="s">
        <v>280</v>
      </c>
      <c r="N2387" s="2" t="s">
        <v>188</v>
      </c>
      <c r="O2387" s="2" t="s">
        <v>188</v>
      </c>
      <c r="P2387" s="2" t="str">
        <f t="shared" si="40"/>
        <v xml:space="preserve">7201 a 7299 </v>
      </c>
    </row>
    <row r="2388" spans="13:16" x14ac:dyDescent="0.25">
      <c r="M2388" s="34" t="s">
        <v>281</v>
      </c>
      <c r="N2388" s="2" t="s">
        <v>188</v>
      </c>
      <c r="O2388" s="2" t="s">
        <v>188</v>
      </c>
      <c r="P2388" s="2" t="str">
        <f t="shared" si="40"/>
        <v xml:space="preserve">720101 a 729999 </v>
      </c>
    </row>
    <row r="2389" spans="13:16" x14ac:dyDescent="0.25">
      <c r="M2389" s="34">
        <v>73</v>
      </c>
      <c r="N2389" s="2" t="s">
        <v>1467</v>
      </c>
      <c r="O2389" s="2" t="s">
        <v>181</v>
      </c>
      <c r="P2389" s="2" t="str">
        <f t="shared" si="40"/>
        <v>73-COSTOS INDIRECTOS-GRUPO</v>
      </c>
    </row>
    <row r="2390" spans="13:16" x14ac:dyDescent="0.25">
      <c r="M2390" s="34" t="s">
        <v>282</v>
      </c>
      <c r="N2390" s="2" t="s">
        <v>188</v>
      </c>
      <c r="O2390" s="2" t="s">
        <v>188</v>
      </c>
      <c r="P2390" s="2" t="str">
        <f t="shared" si="40"/>
        <v xml:space="preserve">7301 a 7399 </v>
      </c>
    </row>
    <row r="2391" spans="13:16" x14ac:dyDescent="0.25">
      <c r="M2391" s="34" t="s">
        <v>283</v>
      </c>
      <c r="N2391" s="2" t="s">
        <v>188</v>
      </c>
      <c r="O2391" s="2" t="s">
        <v>188</v>
      </c>
      <c r="P2391" s="2" t="str">
        <f t="shared" si="40"/>
        <v xml:space="preserve">730101 a 739999 </v>
      </c>
    </row>
    <row r="2392" spans="13:16" x14ac:dyDescent="0.25">
      <c r="M2392" s="34">
        <v>74</v>
      </c>
      <c r="N2392" s="2" t="s">
        <v>1468</v>
      </c>
      <c r="O2392" s="2" t="s">
        <v>181</v>
      </c>
      <c r="P2392" s="2" t="str">
        <f t="shared" si="40"/>
        <v>74-CONTRATOS DE SERVICIOS-GRUPO</v>
      </c>
    </row>
    <row r="2393" spans="13:16" x14ac:dyDescent="0.25">
      <c r="M2393" s="34" t="s">
        <v>284</v>
      </c>
      <c r="N2393" s="2" t="s">
        <v>188</v>
      </c>
      <c r="O2393" s="2" t="s">
        <v>188</v>
      </c>
      <c r="P2393" s="2" t="str">
        <f t="shared" si="40"/>
        <v xml:space="preserve">7401 a 7499 </v>
      </c>
    </row>
    <row r="2394" spans="13:16" x14ac:dyDescent="0.25">
      <c r="M2394" s="34" t="s">
        <v>285</v>
      </c>
      <c r="N2394" s="2" t="s">
        <v>188</v>
      </c>
      <c r="O2394" s="2" t="s">
        <v>188</v>
      </c>
      <c r="P2394" s="2" t="str">
        <f t="shared" si="40"/>
        <v xml:space="preserve">740101 a 749999 </v>
      </c>
    </row>
    <row r="2395" spans="13:16" x14ac:dyDescent="0.25">
      <c r="M2395" s="34">
        <v>8</v>
      </c>
      <c r="N2395" s="2" t="s">
        <v>1469</v>
      </c>
      <c r="O2395" s="2" t="s">
        <v>180</v>
      </c>
      <c r="P2395" s="2" t="str">
        <f t="shared" si="40"/>
        <v>8-CUENTAS DE ORDEN DEUDORAS-CLASE</v>
      </c>
    </row>
    <row r="2396" spans="13:16" x14ac:dyDescent="0.25">
      <c r="M2396" s="34">
        <v>81</v>
      </c>
      <c r="N2396" s="2" t="s">
        <v>1470</v>
      </c>
      <c r="O2396" s="2" t="s">
        <v>181</v>
      </c>
      <c r="P2396" s="2" t="str">
        <f t="shared" si="40"/>
        <v>81-DERECHOS CONTINGENTES-GRUPO</v>
      </c>
    </row>
    <row r="2397" spans="13:16" x14ac:dyDescent="0.25">
      <c r="M2397" s="34">
        <v>8105</v>
      </c>
      <c r="N2397" s="2" t="s">
        <v>1471</v>
      </c>
      <c r="O2397" s="2" t="s">
        <v>182</v>
      </c>
      <c r="P2397" s="2" t="str">
        <f t="shared" si="40"/>
        <v>8105-BIENES Y VALORES ENTREGADOS EN CUSTODIA-CUENTA</v>
      </c>
    </row>
    <row r="2398" spans="13:16" x14ac:dyDescent="0.25">
      <c r="M2398" s="34">
        <v>810505</v>
      </c>
      <c r="N2398" s="2" t="s">
        <v>1472</v>
      </c>
      <c r="O2398" s="2" t="s">
        <v>183</v>
      </c>
      <c r="P2398" s="2" t="str">
        <f t="shared" si="40"/>
        <v>810505-VALORES MOBILIARIOS-SUBCUENTA</v>
      </c>
    </row>
    <row r="2399" spans="13:16" x14ac:dyDescent="0.25">
      <c r="M2399" s="34">
        <v>810510</v>
      </c>
      <c r="N2399" s="2" t="s">
        <v>1473</v>
      </c>
      <c r="O2399" s="2" t="s">
        <v>183</v>
      </c>
      <c r="P2399" s="2" t="str">
        <f t="shared" si="40"/>
        <v>810510-BIENES MUEBLES-SUBCUENTA</v>
      </c>
    </row>
    <row r="2400" spans="13:16" x14ac:dyDescent="0.25">
      <c r="M2400" s="34">
        <v>810599</v>
      </c>
      <c r="N2400" s="2" t="s">
        <v>367</v>
      </c>
      <c r="O2400" s="2" t="s">
        <v>183</v>
      </c>
      <c r="P2400" s="2" t="str">
        <f t="shared" si="40"/>
        <v>810599-AJUSTES POR INFLACION-SUBCUENTA</v>
      </c>
    </row>
    <row r="2401" spans="13:16" x14ac:dyDescent="0.25">
      <c r="M2401" s="34">
        <v>8110</v>
      </c>
      <c r="N2401" s="2" t="s">
        <v>1474</v>
      </c>
      <c r="O2401" s="2" t="s">
        <v>182</v>
      </c>
      <c r="P2401" s="2" t="str">
        <f t="shared" si="40"/>
        <v>8110-BIENES Y VALORES ENTREGADOS EN GARANTIA-CUENTA</v>
      </c>
    </row>
    <row r="2402" spans="13:16" x14ac:dyDescent="0.25">
      <c r="M2402" s="34">
        <v>811005</v>
      </c>
      <c r="N2402" s="2" t="s">
        <v>1472</v>
      </c>
      <c r="O2402" s="2" t="s">
        <v>183</v>
      </c>
      <c r="P2402" s="2" t="str">
        <f t="shared" si="40"/>
        <v>811005-VALORES MOBILIARIOS-SUBCUENTA</v>
      </c>
    </row>
    <row r="2403" spans="13:16" x14ac:dyDescent="0.25">
      <c r="M2403" s="34">
        <v>811010</v>
      </c>
      <c r="N2403" s="2" t="s">
        <v>1473</v>
      </c>
      <c r="O2403" s="2" t="s">
        <v>183</v>
      </c>
      <c r="P2403" s="2" t="str">
        <f t="shared" si="40"/>
        <v>811010-BIENES MUEBLES-SUBCUENTA</v>
      </c>
    </row>
    <row r="2404" spans="13:16" x14ac:dyDescent="0.25">
      <c r="M2404" s="34">
        <v>811015</v>
      </c>
      <c r="N2404" s="2" t="s">
        <v>1475</v>
      </c>
      <c r="O2404" s="2" t="s">
        <v>183</v>
      </c>
      <c r="P2404" s="2" t="str">
        <f t="shared" si="40"/>
        <v>811015-BIENES INMUEBLES-SUBCUENTA</v>
      </c>
    </row>
    <row r="2405" spans="13:16" x14ac:dyDescent="0.25">
      <c r="M2405" s="34">
        <v>811020</v>
      </c>
      <c r="N2405" s="2" t="s">
        <v>1476</v>
      </c>
      <c r="O2405" s="2" t="s">
        <v>183</v>
      </c>
      <c r="P2405" s="2" t="str">
        <f t="shared" si="40"/>
        <v>811020-CONTRATOS DE GANADO EN PARTICIPACION-SUBCUENTA</v>
      </c>
    </row>
    <row r="2406" spans="13:16" x14ac:dyDescent="0.25">
      <c r="M2406" s="34">
        <v>811099</v>
      </c>
      <c r="N2406" s="2" t="s">
        <v>367</v>
      </c>
      <c r="O2406" s="2" t="s">
        <v>183</v>
      </c>
      <c r="P2406" s="2" t="str">
        <f t="shared" si="40"/>
        <v>811099-AJUSTES POR INFLACION-SUBCUENTA</v>
      </c>
    </row>
    <row r="2407" spans="13:16" x14ac:dyDescent="0.25">
      <c r="M2407" s="34">
        <v>8115</v>
      </c>
      <c r="N2407" s="2" t="s">
        <v>1477</v>
      </c>
      <c r="O2407" s="2" t="s">
        <v>182</v>
      </c>
      <c r="P2407" s="2" t="str">
        <f t="shared" si="40"/>
        <v>8115-BIENES Y VALORES EN PODER DE TERCEROS-CUENTA</v>
      </c>
    </row>
    <row r="2408" spans="13:16" x14ac:dyDescent="0.25">
      <c r="M2408" s="34">
        <v>811505</v>
      </c>
      <c r="N2408" s="2" t="s">
        <v>1478</v>
      </c>
      <c r="O2408" s="2" t="s">
        <v>183</v>
      </c>
      <c r="P2408" s="2" t="str">
        <f t="shared" si="40"/>
        <v>811505-EN ARRENDAMIENTO-SUBCUENTA</v>
      </c>
    </row>
    <row r="2409" spans="13:16" x14ac:dyDescent="0.25">
      <c r="M2409" s="34">
        <v>811510</v>
      </c>
      <c r="N2409" s="2" t="s">
        <v>1479</v>
      </c>
      <c r="O2409" s="2" t="s">
        <v>183</v>
      </c>
      <c r="P2409" s="2" t="str">
        <f t="shared" si="40"/>
        <v>811510-EN PRESTAMO-SUBCUENTA</v>
      </c>
    </row>
    <row r="2410" spans="13:16" x14ac:dyDescent="0.25">
      <c r="M2410" s="34">
        <v>811515</v>
      </c>
      <c r="N2410" s="2" t="s">
        <v>1480</v>
      </c>
      <c r="O2410" s="2" t="s">
        <v>183</v>
      </c>
      <c r="P2410" s="2" t="str">
        <f t="shared" si="40"/>
        <v>811515-EN DEPOSITO-SUBCUENTA</v>
      </c>
    </row>
    <row r="2411" spans="13:16" x14ac:dyDescent="0.25">
      <c r="M2411" s="34">
        <v>811520</v>
      </c>
      <c r="N2411" s="2" t="s">
        <v>1481</v>
      </c>
      <c r="O2411" s="2" t="s">
        <v>183</v>
      </c>
      <c r="P2411" s="2" t="str">
        <f t="shared" si="40"/>
        <v>811520-EN CONSIGNACION-SUBCUENTA</v>
      </c>
    </row>
    <row r="2412" spans="13:16" x14ac:dyDescent="0.25">
      <c r="M2412" s="34">
        <v>811599</v>
      </c>
      <c r="N2412" s="2" t="s">
        <v>367</v>
      </c>
      <c r="O2412" s="2" t="s">
        <v>183</v>
      </c>
      <c r="P2412" s="2" t="str">
        <f t="shared" si="40"/>
        <v>811599-AJUSTES POR INFLACION-SUBCUENTA</v>
      </c>
    </row>
    <row r="2413" spans="13:16" x14ac:dyDescent="0.25">
      <c r="M2413" s="34">
        <v>8120</v>
      </c>
      <c r="N2413" s="2" t="s">
        <v>1482</v>
      </c>
      <c r="O2413" s="2" t="s">
        <v>182</v>
      </c>
      <c r="P2413" s="2" t="str">
        <f t="shared" si="40"/>
        <v>8120-LITIGIOS Y/O DEMANDAS-CUENTA</v>
      </c>
    </row>
    <row r="2414" spans="13:16" x14ac:dyDescent="0.25">
      <c r="M2414" s="34">
        <v>812005</v>
      </c>
      <c r="N2414" s="2" t="s">
        <v>1483</v>
      </c>
      <c r="O2414" s="2" t="s">
        <v>183</v>
      </c>
      <c r="P2414" s="2" t="str">
        <f t="shared" si="40"/>
        <v>812005-EJECUTIVOS-SUBCUENTA</v>
      </c>
    </row>
    <row r="2415" spans="13:16" x14ac:dyDescent="0.25">
      <c r="M2415" s="34">
        <v>812010</v>
      </c>
      <c r="N2415" s="2" t="s">
        <v>1484</v>
      </c>
      <c r="O2415" s="2" t="s">
        <v>183</v>
      </c>
      <c r="P2415" s="2" t="str">
        <f t="shared" si="40"/>
        <v>812010-INCUMPLIMIENTO DE CONTRATOS-SUBCUENTA</v>
      </c>
    </row>
    <row r="2416" spans="13:16" x14ac:dyDescent="0.25">
      <c r="M2416" s="34">
        <v>8125</v>
      </c>
      <c r="N2416" s="2" t="s">
        <v>471</v>
      </c>
      <c r="O2416" s="2" t="s">
        <v>182</v>
      </c>
      <c r="P2416" s="2" t="str">
        <f t="shared" si="40"/>
        <v>8125-PROMESAS DE COMPRAVENTA-CUENTA</v>
      </c>
    </row>
    <row r="2417" spans="13:16" x14ac:dyDescent="0.25">
      <c r="M2417" s="34" t="s">
        <v>286</v>
      </c>
      <c r="N2417" s="2" t="s">
        <v>188</v>
      </c>
      <c r="O2417" s="2" t="s">
        <v>188</v>
      </c>
      <c r="P2417" s="2" t="str">
        <f t="shared" si="40"/>
        <v xml:space="preserve">812501 a 812599 </v>
      </c>
    </row>
    <row r="2418" spans="13:16" x14ac:dyDescent="0.25">
      <c r="M2418" s="34">
        <v>8195</v>
      </c>
      <c r="N2418" s="2" t="s">
        <v>378</v>
      </c>
      <c r="O2418" s="2" t="s">
        <v>182</v>
      </c>
      <c r="P2418" s="2" t="str">
        <f t="shared" si="40"/>
        <v>8195-DIVERSAS-CUENTA</v>
      </c>
    </row>
    <row r="2419" spans="13:16" x14ac:dyDescent="0.25">
      <c r="M2419" s="34">
        <v>819505</v>
      </c>
      <c r="N2419" s="2" t="s">
        <v>1485</v>
      </c>
      <c r="O2419" s="2" t="s">
        <v>183</v>
      </c>
      <c r="P2419" s="2" t="str">
        <f t="shared" si="40"/>
        <v>819505-VALORES ADQUIRIDOS POR RECIBIR-SUBCUENTA</v>
      </c>
    </row>
    <row r="2420" spans="13:16" x14ac:dyDescent="0.25">
      <c r="M2420" s="34">
        <v>819595</v>
      </c>
      <c r="N2420" s="2" t="s">
        <v>328</v>
      </c>
      <c r="O2420" s="2" t="s">
        <v>183</v>
      </c>
      <c r="P2420" s="2" t="str">
        <f t="shared" si="40"/>
        <v>819595-OTRAS-SUBCUENTA</v>
      </c>
    </row>
    <row r="2421" spans="13:16" x14ac:dyDescent="0.25">
      <c r="M2421" s="34">
        <v>819599</v>
      </c>
      <c r="N2421" s="2" t="s">
        <v>1486</v>
      </c>
      <c r="O2421" s="2" t="s">
        <v>183</v>
      </c>
      <c r="P2421" s="2" t="str">
        <f t="shared" si="40"/>
        <v>819599-AJUSTES POR INFLACION.-SUBCUENTA</v>
      </c>
    </row>
    <row r="2422" spans="13:16" x14ac:dyDescent="0.25">
      <c r="M2422" s="34">
        <v>82</v>
      </c>
      <c r="N2422" s="2" t="s">
        <v>1487</v>
      </c>
      <c r="O2422" s="2" t="s">
        <v>181</v>
      </c>
      <c r="P2422" s="2" t="str">
        <f t="shared" si="40"/>
        <v>82-DEUDORAS FISCALES-GRUPO</v>
      </c>
    </row>
    <row r="2423" spans="13:16" x14ac:dyDescent="0.25">
      <c r="M2423" s="34" t="s">
        <v>287</v>
      </c>
      <c r="N2423" s="2" t="s">
        <v>188</v>
      </c>
      <c r="O2423" s="2" t="s">
        <v>188</v>
      </c>
      <c r="P2423" s="2" t="str">
        <f t="shared" si="40"/>
        <v xml:space="preserve">8201 a 8299 </v>
      </c>
    </row>
    <row r="2424" spans="13:16" x14ac:dyDescent="0.25">
      <c r="M2424" s="34" t="s">
        <v>288</v>
      </c>
      <c r="N2424" s="2" t="s">
        <v>188</v>
      </c>
      <c r="O2424" s="2" t="s">
        <v>188</v>
      </c>
      <c r="P2424" s="2" t="str">
        <f t="shared" si="40"/>
        <v xml:space="preserve">820101 a 829999 </v>
      </c>
    </row>
    <row r="2425" spans="13:16" x14ac:dyDescent="0.25">
      <c r="M2425" s="34">
        <v>83</v>
      </c>
      <c r="N2425" s="2" t="s">
        <v>1488</v>
      </c>
      <c r="O2425" s="2" t="s">
        <v>181</v>
      </c>
      <c r="P2425" s="2" t="str">
        <f t="shared" si="40"/>
        <v>83-DEUDORAS DE CONTROL-GRUPO</v>
      </c>
    </row>
    <row r="2426" spans="13:16" x14ac:dyDescent="0.25">
      <c r="M2426" s="34">
        <v>8305</v>
      </c>
      <c r="N2426" s="2" t="s">
        <v>1489</v>
      </c>
      <c r="O2426" s="2" t="s">
        <v>182</v>
      </c>
      <c r="P2426" s="2" t="str">
        <f t="shared" si="40"/>
        <v>8305-BIENES RECIBIDOS EN ARRENDAMIENTO FINANCIERO-CUENTA</v>
      </c>
    </row>
    <row r="2427" spans="13:16" x14ac:dyDescent="0.25">
      <c r="M2427" s="34">
        <v>830505</v>
      </c>
      <c r="N2427" s="2" t="s">
        <v>1473</v>
      </c>
      <c r="O2427" s="2" t="s">
        <v>183</v>
      </c>
      <c r="P2427" s="2" t="str">
        <f t="shared" si="40"/>
        <v>830505-BIENES MUEBLES-SUBCUENTA</v>
      </c>
    </row>
    <row r="2428" spans="13:16" x14ac:dyDescent="0.25">
      <c r="M2428" s="34">
        <v>830510</v>
      </c>
      <c r="N2428" s="2" t="s">
        <v>1475</v>
      </c>
      <c r="O2428" s="2" t="s">
        <v>183</v>
      </c>
      <c r="P2428" s="2" t="str">
        <f t="shared" si="40"/>
        <v>830510-BIENES INMUEBLES-SUBCUENTA</v>
      </c>
    </row>
    <row r="2429" spans="13:16" x14ac:dyDescent="0.25">
      <c r="M2429" s="34">
        <v>830599</v>
      </c>
      <c r="N2429" s="2" t="s">
        <v>367</v>
      </c>
      <c r="O2429" s="2" t="s">
        <v>183</v>
      </c>
      <c r="P2429" s="2" t="str">
        <f t="shared" si="40"/>
        <v>830599-AJUSTES POR INFLACION-SUBCUENTA</v>
      </c>
    </row>
    <row r="2430" spans="13:16" x14ac:dyDescent="0.25">
      <c r="M2430" s="34">
        <v>8310</v>
      </c>
      <c r="N2430" s="2" t="s">
        <v>1490</v>
      </c>
      <c r="O2430" s="2" t="s">
        <v>182</v>
      </c>
      <c r="P2430" s="2" t="str">
        <f t="shared" si="40"/>
        <v>8310-TITULOS DE INVERSION NO COLOCADOS-CUENTA</v>
      </c>
    </row>
    <row r="2431" spans="13:16" x14ac:dyDescent="0.25">
      <c r="M2431" s="34">
        <v>831005</v>
      </c>
      <c r="N2431" s="2" t="s">
        <v>320</v>
      </c>
      <c r="O2431" s="2" t="s">
        <v>183</v>
      </c>
      <c r="P2431" s="2" t="str">
        <f t="shared" si="40"/>
        <v>831005-ACCIONES-SUBCUENTA</v>
      </c>
    </row>
    <row r="2432" spans="13:16" x14ac:dyDescent="0.25">
      <c r="M2432" s="34">
        <v>831010</v>
      </c>
      <c r="N2432" s="2" t="s">
        <v>322</v>
      </c>
      <c r="O2432" s="2" t="s">
        <v>183</v>
      </c>
      <c r="P2432" s="2" t="str">
        <f t="shared" si="40"/>
        <v>831010-BONOS-SUBCUENTA</v>
      </c>
    </row>
    <row r="2433" spans="13:16" x14ac:dyDescent="0.25">
      <c r="M2433" s="34">
        <v>831095</v>
      </c>
      <c r="N2433" s="2" t="s">
        <v>323</v>
      </c>
      <c r="O2433" s="2" t="s">
        <v>183</v>
      </c>
      <c r="P2433" s="2" t="str">
        <f t="shared" si="40"/>
        <v>831095-OTROS-SUBCUENTA</v>
      </c>
    </row>
    <row r="2434" spans="13:16" x14ac:dyDescent="0.25">
      <c r="M2434" s="34">
        <v>8315</v>
      </c>
      <c r="N2434" s="2" t="s">
        <v>1491</v>
      </c>
      <c r="O2434" s="2" t="s">
        <v>182</v>
      </c>
      <c r="P2434" s="2" t="str">
        <f t="shared" si="40"/>
        <v>8315-PROPIEDADES PLANTA Y EQUIPO TOTALMENTE DEPRECIADOS, AGOTADOS Y/O AMORTIZADOS-CUENTA</v>
      </c>
    </row>
    <row r="2435" spans="13:16" x14ac:dyDescent="0.25">
      <c r="M2435" s="34">
        <v>831506</v>
      </c>
      <c r="N2435" s="2" t="s">
        <v>515</v>
      </c>
      <c r="O2435" s="2" t="s">
        <v>183</v>
      </c>
      <c r="P2435" s="2" t="str">
        <f t="shared" si="40"/>
        <v>831506-MATERIALES PROYECTOS PETROLEROS-SUBCUENTA</v>
      </c>
    </row>
    <row r="2436" spans="13:16" x14ac:dyDescent="0.25">
      <c r="M2436" s="34">
        <v>831516</v>
      </c>
      <c r="N2436" s="2" t="s">
        <v>520</v>
      </c>
      <c r="O2436" s="2" t="s">
        <v>183</v>
      </c>
      <c r="P2436" s="2" t="str">
        <f t="shared" ref="P2436:P2499" si="41">IF(AND(M2436&lt;&gt;"",N2436&lt;&gt;"",O2436&lt;&gt;""),M2436&amp;"-"&amp;N2436&amp;"-"&amp;O2436,IF(AND(M2436="",N2436&lt;&gt;"",O2436&lt;&gt;""),N2436&amp;"-"&amp;O2436,IF(AND(M2436&lt;&gt;"",N2436="",O2436&lt;&gt;""),M2436&amp;"-"&amp;O2436,IF(AND(M2436&lt;&gt;"",N2436&lt;&gt;"",O2436=""),M2436&amp;"-"&amp;N2436,IF(AND(M2436&lt;&gt;"",N2436="",O2436=""),M2436,"")))))</f>
        <v>831516-CONSTRUCCIONES Y EDIFICACIONES-SUBCUENTA</v>
      </c>
    </row>
    <row r="2437" spans="13:16" x14ac:dyDescent="0.25">
      <c r="M2437" s="34">
        <v>831520</v>
      </c>
      <c r="N2437" s="2" t="s">
        <v>527</v>
      </c>
      <c r="O2437" s="2" t="s">
        <v>183</v>
      </c>
      <c r="P2437" s="2" t="str">
        <f t="shared" si="41"/>
        <v>831520-MAQUINARIA Y EQUIPO-SUBCUENTA</v>
      </c>
    </row>
    <row r="2438" spans="13:16" x14ac:dyDescent="0.25">
      <c r="M2438" s="34">
        <v>831524</v>
      </c>
      <c r="N2438" s="2" t="s">
        <v>528</v>
      </c>
      <c r="O2438" s="2" t="s">
        <v>183</v>
      </c>
      <c r="P2438" s="2" t="str">
        <f t="shared" si="41"/>
        <v>831524-EQUIPO DE OFICINA-SUBCUENTA</v>
      </c>
    </row>
    <row r="2439" spans="13:16" x14ac:dyDescent="0.25">
      <c r="M2439" s="34">
        <v>831528</v>
      </c>
      <c r="N2439" s="2" t="s">
        <v>529</v>
      </c>
      <c r="O2439" s="2" t="s">
        <v>183</v>
      </c>
      <c r="P2439" s="2" t="str">
        <f t="shared" si="41"/>
        <v>831528-EQUIPO DE COMPUTACION Y COMUNICACION-SUBCUENTA</v>
      </c>
    </row>
    <row r="2440" spans="13:16" x14ac:dyDescent="0.25">
      <c r="M2440" s="34">
        <v>831532</v>
      </c>
      <c r="N2440" s="2" t="s">
        <v>561</v>
      </c>
      <c r="O2440" s="2" t="s">
        <v>183</v>
      </c>
      <c r="P2440" s="2" t="str">
        <f t="shared" si="41"/>
        <v>831532-EQUIPO MEDICO - CIENTIFICO-SUBCUENTA</v>
      </c>
    </row>
    <row r="2441" spans="13:16" x14ac:dyDescent="0.25">
      <c r="M2441" s="34">
        <v>831536</v>
      </c>
      <c r="N2441" s="2" t="s">
        <v>531</v>
      </c>
      <c r="O2441" s="2" t="s">
        <v>183</v>
      </c>
      <c r="P2441" s="2" t="str">
        <f t="shared" si="41"/>
        <v>831536-EQUIPO DE HOTELES Y RESTAURANTES-SUBCUENTA</v>
      </c>
    </row>
    <row r="2442" spans="13:16" x14ac:dyDescent="0.25">
      <c r="M2442" s="34">
        <v>831540</v>
      </c>
      <c r="N2442" s="2" t="s">
        <v>532</v>
      </c>
      <c r="O2442" s="2" t="s">
        <v>183</v>
      </c>
      <c r="P2442" s="2" t="str">
        <f t="shared" si="41"/>
        <v>831540-FLOTA Y EQUIPO DE TRANSPORTE-SUBCUENTA</v>
      </c>
    </row>
    <row r="2443" spans="13:16" x14ac:dyDescent="0.25">
      <c r="M2443" s="34">
        <v>831544</v>
      </c>
      <c r="N2443" s="2" t="s">
        <v>533</v>
      </c>
      <c r="O2443" s="2" t="s">
        <v>183</v>
      </c>
      <c r="P2443" s="2" t="str">
        <f t="shared" si="41"/>
        <v>831544-FLOTA Y EQUIPO FLUVIAL Y/O MARITIMO-SUBCUENTA</v>
      </c>
    </row>
    <row r="2444" spans="13:16" x14ac:dyDescent="0.25">
      <c r="M2444" s="34">
        <v>831548</v>
      </c>
      <c r="N2444" s="2" t="s">
        <v>534</v>
      </c>
      <c r="O2444" s="2" t="s">
        <v>183</v>
      </c>
      <c r="P2444" s="2" t="str">
        <f t="shared" si="41"/>
        <v>831548-FLOTA Y EQUIPO AEREO-SUBCUENTA</v>
      </c>
    </row>
    <row r="2445" spans="13:16" x14ac:dyDescent="0.25">
      <c r="M2445" s="34">
        <v>831552</v>
      </c>
      <c r="N2445" s="2" t="s">
        <v>535</v>
      </c>
      <c r="O2445" s="2" t="s">
        <v>183</v>
      </c>
      <c r="P2445" s="2" t="str">
        <f t="shared" si="41"/>
        <v>831552-FLOTA Y EQUIPO FERREO-SUBCUENTA</v>
      </c>
    </row>
    <row r="2446" spans="13:16" x14ac:dyDescent="0.25">
      <c r="M2446" s="34">
        <v>831556</v>
      </c>
      <c r="N2446" s="2" t="s">
        <v>637</v>
      </c>
      <c r="O2446" s="2" t="s">
        <v>183</v>
      </c>
      <c r="P2446" s="2" t="str">
        <f t="shared" si="41"/>
        <v>831556-ACUEDUCTOS, PLANTAS Y REDES-SUBCUENTA</v>
      </c>
    </row>
    <row r="2447" spans="13:16" x14ac:dyDescent="0.25">
      <c r="M2447" s="34">
        <v>831560</v>
      </c>
      <c r="N2447" s="2" t="s">
        <v>616</v>
      </c>
      <c r="O2447" s="2" t="s">
        <v>183</v>
      </c>
      <c r="P2447" s="2" t="str">
        <f t="shared" si="41"/>
        <v>831560-ARMAMENTO DE VIGILANCIA-SUBCUENTA</v>
      </c>
    </row>
    <row r="2448" spans="13:16" x14ac:dyDescent="0.25">
      <c r="M2448" s="34">
        <v>831562</v>
      </c>
      <c r="N2448" s="2" t="s">
        <v>506</v>
      </c>
      <c r="O2448" s="2" t="s">
        <v>183</v>
      </c>
      <c r="P2448" s="2" t="str">
        <f t="shared" si="41"/>
        <v>831562-ENVASES Y EMPAQUES-SUBCUENTA</v>
      </c>
    </row>
    <row r="2449" spans="13:16" x14ac:dyDescent="0.25">
      <c r="M2449" s="34">
        <v>831564</v>
      </c>
      <c r="N2449" s="2" t="s">
        <v>617</v>
      </c>
      <c r="O2449" s="2" t="s">
        <v>183</v>
      </c>
      <c r="P2449" s="2" t="str">
        <f t="shared" si="41"/>
        <v>831564-PLANTACIONES AGRICOLAS Y FORESTALES-SUBCUENTA</v>
      </c>
    </row>
    <row r="2450" spans="13:16" x14ac:dyDescent="0.25">
      <c r="M2450" s="34">
        <v>831568</v>
      </c>
      <c r="N2450" s="2" t="s">
        <v>522</v>
      </c>
      <c r="O2450" s="2" t="s">
        <v>183</v>
      </c>
      <c r="P2450" s="2" t="str">
        <f t="shared" si="41"/>
        <v>831568-VIAS DE COMUNICACION-SUBCUENTA</v>
      </c>
    </row>
    <row r="2451" spans="13:16" x14ac:dyDescent="0.25">
      <c r="M2451" s="34">
        <v>831572</v>
      </c>
      <c r="N2451" s="2" t="s">
        <v>624</v>
      </c>
      <c r="O2451" s="2" t="s">
        <v>183</v>
      </c>
      <c r="P2451" s="2" t="str">
        <f t="shared" si="41"/>
        <v>831572-MINAS Y CANTERAS-SUBCUENTA</v>
      </c>
    </row>
    <row r="2452" spans="13:16" x14ac:dyDescent="0.25">
      <c r="M2452" s="34">
        <v>831576</v>
      </c>
      <c r="N2452" s="2" t="s">
        <v>523</v>
      </c>
      <c r="O2452" s="2" t="s">
        <v>183</v>
      </c>
      <c r="P2452" s="2" t="str">
        <f t="shared" si="41"/>
        <v>831576-POZOS ARTESIANOS-SUBCUENTA</v>
      </c>
    </row>
    <row r="2453" spans="13:16" x14ac:dyDescent="0.25">
      <c r="M2453" s="34">
        <v>831580</v>
      </c>
      <c r="N2453" s="2" t="s">
        <v>627</v>
      </c>
      <c r="O2453" s="2" t="s">
        <v>183</v>
      </c>
      <c r="P2453" s="2" t="str">
        <f t="shared" si="41"/>
        <v>831580-YACIMIENTOS-SUBCUENTA</v>
      </c>
    </row>
    <row r="2454" spans="13:16" x14ac:dyDescent="0.25">
      <c r="M2454" s="34">
        <v>831584</v>
      </c>
      <c r="N2454" s="2" t="s">
        <v>487</v>
      </c>
      <c r="O2454" s="2" t="s">
        <v>183</v>
      </c>
      <c r="P2454" s="2" t="str">
        <f t="shared" si="41"/>
        <v>831584-SEMOVIENTES-SUBCUENTA</v>
      </c>
    </row>
    <row r="2455" spans="13:16" x14ac:dyDescent="0.25">
      <c r="M2455" s="34">
        <v>831599</v>
      </c>
      <c r="N2455" s="2" t="s">
        <v>367</v>
      </c>
      <c r="O2455" s="2" t="s">
        <v>183</v>
      </c>
      <c r="P2455" s="2" t="str">
        <f t="shared" si="41"/>
        <v>831599-AJUSTES POR INFLACION-SUBCUENTA</v>
      </c>
    </row>
    <row r="2456" spans="13:16" x14ac:dyDescent="0.25">
      <c r="M2456" s="34">
        <v>8320</v>
      </c>
      <c r="N2456" s="2" t="s">
        <v>1492</v>
      </c>
      <c r="O2456" s="2" t="s">
        <v>182</v>
      </c>
      <c r="P2456" s="2" t="str">
        <f t="shared" si="41"/>
        <v>8320-CREDITOS A FAVOR NO UTILIZADOS-CUENTA</v>
      </c>
    </row>
    <row r="2457" spans="13:16" x14ac:dyDescent="0.25">
      <c r="M2457" s="34">
        <v>832005</v>
      </c>
      <c r="N2457" s="2" t="s">
        <v>1493</v>
      </c>
      <c r="O2457" s="2" t="s">
        <v>183</v>
      </c>
      <c r="P2457" s="2" t="str">
        <f t="shared" si="41"/>
        <v>832005-PAIS-SUBCUENTA</v>
      </c>
    </row>
    <row r="2458" spans="13:16" x14ac:dyDescent="0.25">
      <c r="M2458" s="34">
        <v>832010</v>
      </c>
      <c r="N2458" s="2" t="s">
        <v>1494</v>
      </c>
      <c r="O2458" s="2" t="s">
        <v>183</v>
      </c>
      <c r="P2458" s="2" t="str">
        <f t="shared" si="41"/>
        <v>832010-EXTERIOR-SUBCUENTA</v>
      </c>
    </row>
    <row r="2459" spans="13:16" x14ac:dyDescent="0.25">
      <c r="M2459" s="34">
        <v>8325</v>
      </c>
      <c r="N2459" s="2" t="s">
        <v>1495</v>
      </c>
      <c r="O2459" s="2" t="s">
        <v>182</v>
      </c>
      <c r="P2459" s="2" t="str">
        <f t="shared" si="41"/>
        <v>8325-ACTIVOS CASTIGADOS-CUENTA</v>
      </c>
    </row>
    <row r="2460" spans="13:16" x14ac:dyDescent="0.25">
      <c r="M2460" s="34">
        <v>832505</v>
      </c>
      <c r="N2460" s="2" t="s">
        <v>319</v>
      </c>
      <c r="O2460" s="2" t="s">
        <v>183</v>
      </c>
      <c r="P2460" s="2" t="str">
        <f t="shared" si="41"/>
        <v>832505-INVERSIONES-SUBCUENTA</v>
      </c>
    </row>
    <row r="2461" spans="13:16" x14ac:dyDescent="0.25">
      <c r="M2461" s="34">
        <v>832510</v>
      </c>
      <c r="N2461" s="2" t="s">
        <v>381</v>
      </c>
      <c r="O2461" s="2" t="s">
        <v>183</v>
      </c>
      <c r="P2461" s="2" t="str">
        <f t="shared" si="41"/>
        <v>832510-DEUDORES-SUBCUENTA</v>
      </c>
    </row>
    <row r="2462" spans="13:16" x14ac:dyDescent="0.25">
      <c r="M2462" s="34">
        <v>832595</v>
      </c>
      <c r="N2462" s="2" t="s">
        <v>689</v>
      </c>
      <c r="O2462" s="2" t="s">
        <v>183</v>
      </c>
      <c r="P2462" s="2" t="str">
        <f t="shared" si="41"/>
        <v>832595-OTROS ACTIVOS-SUBCUENTA</v>
      </c>
    </row>
    <row r="2463" spans="13:16" x14ac:dyDescent="0.25">
      <c r="M2463" s="34">
        <v>8330</v>
      </c>
      <c r="N2463" s="2" t="s">
        <v>1496</v>
      </c>
      <c r="O2463" s="2" t="s">
        <v>182</v>
      </c>
      <c r="P2463" s="2" t="str">
        <f t="shared" si="41"/>
        <v>8330-TITULOS DE INVERSION AMORTIZADOS-CUENTA</v>
      </c>
    </row>
    <row r="2464" spans="13:16" x14ac:dyDescent="0.25">
      <c r="M2464" s="34">
        <v>833005</v>
      </c>
      <c r="N2464" s="2" t="s">
        <v>322</v>
      </c>
      <c r="O2464" s="2" t="s">
        <v>183</v>
      </c>
      <c r="P2464" s="2" t="str">
        <f t="shared" si="41"/>
        <v>833005-BONOS-SUBCUENTA</v>
      </c>
    </row>
    <row r="2465" spans="13:16" x14ac:dyDescent="0.25">
      <c r="M2465" s="34">
        <v>833095</v>
      </c>
      <c r="N2465" s="2" t="s">
        <v>323</v>
      </c>
      <c r="O2465" s="2" t="s">
        <v>183</v>
      </c>
      <c r="P2465" s="2" t="str">
        <f t="shared" si="41"/>
        <v>833095-OTROS-SUBCUENTA</v>
      </c>
    </row>
    <row r="2466" spans="13:16" x14ac:dyDescent="0.25">
      <c r="M2466" s="34">
        <v>8335</v>
      </c>
      <c r="N2466" s="2" t="s">
        <v>1497</v>
      </c>
      <c r="O2466" s="2" t="s">
        <v>182</v>
      </c>
      <c r="P2466" s="2" t="str">
        <f t="shared" si="41"/>
        <v>8335-CAPITALIZACION POR REVALORIZACION DE PATRIMONIO-CUENTA</v>
      </c>
    </row>
    <row r="2467" spans="13:16" x14ac:dyDescent="0.25">
      <c r="M2467" s="34" t="s">
        <v>289</v>
      </c>
      <c r="N2467" s="2" t="s">
        <v>188</v>
      </c>
      <c r="O2467" s="2" t="s">
        <v>188</v>
      </c>
      <c r="P2467" s="2" t="str">
        <f t="shared" si="41"/>
        <v xml:space="preserve">833501 a 833599 </v>
      </c>
    </row>
    <row r="2468" spans="13:16" x14ac:dyDescent="0.25">
      <c r="M2468" s="34">
        <v>8395</v>
      </c>
      <c r="N2468" s="2" t="s">
        <v>1498</v>
      </c>
      <c r="O2468" s="2" t="s">
        <v>182</v>
      </c>
      <c r="P2468" s="2" t="str">
        <f t="shared" si="41"/>
        <v>8395-OTRAS CUENTAS DEUDORAS DE CONTROL-CUENTA</v>
      </c>
    </row>
    <row r="2469" spans="13:16" x14ac:dyDescent="0.25">
      <c r="M2469" s="34">
        <v>839505</v>
      </c>
      <c r="N2469" s="2" t="s">
        <v>1499</v>
      </c>
      <c r="O2469" s="2" t="s">
        <v>183</v>
      </c>
      <c r="P2469" s="2" t="str">
        <f t="shared" si="41"/>
        <v>839505-CHEQUES POSTFECHADOS-SUBCUENTA</v>
      </c>
    </row>
    <row r="2470" spans="13:16" x14ac:dyDescent="0.25">
      <c r="M2470" s="34">
        <v>839510</v>
      </c>
      <c r="N2470" s="2" t="s">
        <v>1500</v>
      </c>
      <c r="O2470" s="2" t="s">
        <v>183</v>
      </c>
      <c r="P2470" s="2" t="str">
        <f t="shared" si="41"/>
        <v>839510-CERTIFICADOS DE DEPOSITO A TERMINO-SUBCUENTA</v>
      </c>
    </row>
    <row r="2471" spans="13:16" x14ac:dyDescent="0.25">
      <c r="M2471" s="34">
        <v>839515</v>
      </c>
      <c r="N2471" s="2" t="s">
        <v>1501</v>
      </c>
      <c r="O2471" s="2" t="s">
        <v>183</v>
      </c>
      <c r="P2471" s="2" t="str">
        <f t="shared" si="41"/>
        <v>839515-CHEQUES DEVUELTOS-SUBCUENTA</v>
      </c>
    </row>
    <row r="2472" spans="13:16" x14ac:dyDescent="0.25">
      <c r="M2472" s="34">
        <v>839520</v>
      </c>
      <c r="N2472" s="2" t="s">
        <v>1502</v>
      </c>
      <c r="O2472" s="2" t="s">
        <v>183</v>
      </c>
      <c r="P2472" s="2" t="str">
        <f t="shared" si="41"/>
        <v>839520-BIENES Y VALORES EN FIDEICOMISO-SUBCUENTA</v>
      </c>
    </row>
    <row r="2473" spans="13:16" x14ac:dyDescent="0.25">
      <c r="M2473" s="34">
        <v>839525</v>
      </c>
      <c r="N2473" s="2" t="s">
        <v>1503</v>
      </c>
      <c r="O2473" s="2" t="s">
        <v>183</v>
      </c>
      <c r="P2473" s="2" t="str">
        <f t="shared" si="41"/>
        <v>839525-INTERESES SOBRE DEUDAS VENCIDAS-SUBCUENTA</v>
      </c>
    </row>
    <row r="2474" spans="13:16" x14ac:dyDescent="0.25">
      <c r="M2474" s="34">
        <v>839595</v>
      </c>
      <c r="N2474" s="2" t="s">
        <v>378</v>
      </c>
      <c r="O2474" s="2" t="s">
        <v>183</v>
      </c>
      <c r="P2474" s="2" t="str">
        <f t="shared" si="41"/>
        <v>839595-DIVERSAS-SUBCUENTA</v>
      </c>
    </row>
    <row r="2475" spans="13:16" x14ac:dyDescent="0.25">
      <c r="M2475" s="34">
        <v>839599</v>
      </c>
      <c r="N2475" s="2" t="s">
        <v>367</v>
      </c>
      <c r="O2475" s="2" t="s">
        <v>183</v>
      </c>
      <c r="P2475" s="2" t="str">
        <f t="shared" si="41"/>
        <v>839599-AJUSTES POR INFLACION-SUBCUENTA</v>
      </c>
    </row>
    <row r="2476" spans="13:16" x14ac:dyDescent="0.25">
      <c r="M2476" s="34">
        <v>8399</v>
      </c>
      <c r="N2476" s="2" t="s">
        <v>1504</v>
      </c>
      <c r="O2476" s="2" t="s">
        <v>182</v>
      </c>
      <c r="P2476" s="2" t="str">
        <f t="shared" si="41"/>
        <v>8399-AJUSTES POR INFLACION ACTIVOS-CUENTA</v>
      </c>
    </row>
    <row r="2477" spans="13:16" x14ac:dyDescent="0.25">
      <c r="M2477" s="34">
        <v>839905</v>
      </c>
      <c r="N2477" s="2" t="s">
        <v>319</v>
      </c>
      <c r="O2477" s="2" t="s">
        <v>183</v>
      </c>
      <c r="P2477" s="2" t="str">
        <f t="shared" si="41"/>
        <v>839905-INVERSIONES-SUBCUENTA</v>
      </c>
    </row>
    <row r="2478" spans="13:16" x14ac:dyDescent="0.25">
      <c r="M2478" s="34">
        <v>839910</v>
      </c>
      <c r="N2478" s="2" t="s">
        <v>472</v>
      </c>
      <c r="O2478" s="2" t="s">
        <v>183</v>
      </c>
      <c r="P2478" s="2" t="str">
        <f t="shared" si="41"/>
        <v>839910-INVENTARIOS-SUBCUENTA</v>
      </c>
    </row>
    <row r="2479" spans="13:16" x14ac:dyDescent="0.25">
      <c r="M2479" s="34">
        <v>839915</v>
      </c>
      <c r="N2479" s="2" t="s">
        <v>512</v>
      </c>
      <c r="O2479" s="2" t="s">
        <v>183</v>
      </c>
      <c r="P2479" s="2" t="str">
        <f t="shared" si="41"/>
        <v>839915-PROPIEDADES PLANTA Y EQUIPO-SUBCUENTA</v>
      </c>
    </row>
    <row r="2480" spans="13:16" x14ac:dyDescent="0.25">
      <c r="M2480" s="34">
        <v>839920</v>
      </c>
      <c r="N2480" s="2" t="s">
        <v>638</v>
      </c>
      <c r="O2480" s="2" t="s">
        <v>183</v>
      </c>
      <c r="P2480" s="2" t="str">
        <f t="shared" si="41"/>
        <v>839920-INTANGIBLES-SUBCUENTA</v>
      </c>
    </row>
    <row r="2481" spans="13:16" x14ac:dyDescent="0.25">
      <c r="M2481" s="34">
        <v>839925</v>
      </c>
      <c r="N2481" s="2" t="s">
        <v>663</v>
      </c>
      <c r="O2481" s="2" t="s">
        <v>183</v>
      </c>
      <c r="P2481" s="2" t="str">
        <f t="shared" si="41"/>
        <v>839925-CARGOS DIFERIDOS-SUBCUENTA</v>
      </c>
    </row>
    <row r="2482" spans="13:16" x14ac:dyDescent="0.25">
      <c r="M2482" s="34">
        <v>839995</v>
      </c>
      <c r="N2482" s="2" t="s">
        <v>689</v>
      </c>
      <c r="O2482" s="2" t="s">
        <v>183</v>
      </c>
      <c r="P2482" s="2" t="str">
        <f t="shared" si="41"/>
        <v>839995-OTROS ACTIVOS-SUBCUENTA</v>
      </c>
    </row>
    <row r="2483" spans="13:16" x14ac:dyDescent="0.25">
      <c r="M2483" s="34">
        <v>84</v>
      </c>
      <c r="N2483" s="2" t="s">
        <v>1505</v>
      </c>
      <c r="O2483" s="2" t="s">
        <v>181</v>
      </c>
      <c r="P2483" s="2" t="str">
        <f t="shared" si="41"/>
        <v>84-DERECHOS CONTINGENTES POR CONTRA (CR)-GRUPO</v>
      </c>
    </row>
    <row r="2484" spans="13:16" x14ac:dyDescent="0.25">
      <c r="M2484" s="34" t="s">
        <v>290</v>
      </c>
      <c r="N2484" s="2" t="s">
        <v>188</v>
      </c>
      <c r="O2484" s="2" t="s">
        <v>188</v>
      </c>
      <c r="P2484" s="2" t="str">
        <f t="shared" si="41"/>
        <v xml:space="preserve">8401 a 8499 </v>
      </c>
    </row>
    <row r="2485" spans="13:16" x14ac:dyDescent="0.25">
      <c r="M2485" s="34" t="s">
        <v>291</v>
      </c>
      <c r="N2485" s="2" t="s">
        <v>188</v>
      </c>
      <c r="O2485" s="2" t="s">
        <v>188</v>
      </c>
      <c r="P2485" s="2" t="str">
        <f t="shared" si="41"/>
        <v xml:space="preserve">840101 a 849999 </v>
      </c>
    </row>
    <row r="2486" spans="13:16" x14ac:dyDescent="0.25">
      <c r="M2486" s="34">
        <v>85</v>
      </c>
      <c r="N2486" s="2" t="s">
        <v>1506</v>
      </c>
      <c r="O2486" s="2" t="s">
        <v>181</v>
      </c>
      <c r="P2486" s="2" t="str">
        <f t="shared" si="41"/>
        <v>85-DEUDORAS FISCALES POR CONTRA (CR)-GRUPO</v>
      </c>
    </row>
    <row r="2487" spans="13:16" x14ac:dyDescent="0.25">
      <c r="M2487" s="34" t="s">
        <v>292</v>
      </c>
      <c r="N2487" s="2" t="s">
        <v>188</v>
      </c>
      <c r="O2487" s="2" t="s">
        <v>188</v>
      </c>
      <c r="P2487" s="2" t="str">
        <f t="shared" si="41"/>
        <v xml:space="preserve">8501 a 8599 </v>
      </c>
    </row>
    <row r="2488" spans="13:16" x14ac:dyDescent="0.25">
      <c r="M2488" s="34" t="s">
        <v>293</v>
      </c>
      <c r="N2488" s="2" t="s">
        <v>188</v>
      </c>
      <c r="O2488" s="2" t="s">
        <v>188</v>
      </c>
      <c r="P2488" s="2" t="str">
        <f t="shared" si="41"/>
        <v xml:space="preserve">850101 a 859999 </v>
      </c>
    </row>
    <row r="2489" spans="13:16" x14ac:dyDescent="0.25">
      <c r="M2489" s="34">
        <v>86</v>
      </c>
      <c r="N2489" s="2" t="s">
        <v>1507</v>
      </c>
      <c r="O2489" s="2" t="s">
        <v>181</v>
      </c>
      <c r="P2489" s="2" t="str">
        <f t="shared" si="41"/>
        <v>86-DEUDORAS DE CONTROL POR CONTRA (CR)-GRUPO</v>
      </c>
    </row>
    <row r="2490" spans="13:16" x14ac:dyDescent="0.25">
      <c r="M2490" s="34" t="s">
        <v>294</v>
      </c>
      <c r="N2490" s="2" t="s">
        <v>188</v>
      </c>
      <c r="O2490" s="2" t="s">
        <v>188</v>
      </c>
      <c r="P2490" s="2" t="str">
        <f t="shared" si="41"/>
        <v xml:space="preserve">8601 a 8699 </v>
      </c>
    </row>
    <row r="2491" spans="13:16" x14ac:dyDescent="0.25">
      <c r="M2491" s="34" t="s">
        <v>295</v>
      </c>
      <c r="N2491" s="2" t="s">
        <v>188</v>
      </c>
      <c r="O2491" s="2" t="s">
        <v>188</v>
      </c>
      <c r="P2491" s="2" t="str">
        <f t="shared" si="41"/>
        <v xml:space="preserve">860101 a 869999 </v>
      </c>
    </row>
    <row r="2492" spans="13:16" x14ac:dyDescent="0.25">
      <c r="M2492" s="34">
        <v>9</v>
      </c>
      <c r="N2492" s="2" t="s">
        <v>1508</v>
      </c>
      <c r="O2492" s="2" t="s">
        <v>180</v>
      </c>
      <c r="P2492" s="2" t="str">
        <f t="shared" si="41"/>
        <v>9-CUENTAS DE ORDEN ACREEDORAS-CLASE</v>
      </c>
    </row>
    <row r="2493" spans="13:16" x14ac:dyDescent="0.25">
      <c r="M2493" s="34">
        <v>91</v>
      </c>
      <c r="N2493" s="2" t="s">
        <v>1509</v>
      </c>
      <c r="O2493" s="2" t="s">
        <v>181</v>
      </c>
      <c r="P2493" s="2" t="str">
        <f t="shared" si="41"/>
        <v>91-RESPONSABILIDADES CONTINGENTES-GRUPO</v>
      </c>
    </row>
    <row r="2494" spans="13:16" x14ac:dyDescent="0.25">
      <c r="M2494" s="34">
        <v>9105</v>
      </c>
      <c r="N2494" s="2" t="s">
        <v>1510</v>
      </c>
      <c r="O2494" s="2" t="s">
        <v>182</v>
      </c>
      <c r="P2494" s="2" t="str">
        <f t="shared" si="41"/>
        <v>9105-BIENES Y VALORES RECIBIDOS EN CUSTODIA-CUENTA</v>
      </c>
    </row>
    <row r="2495" spans="13:16" x14ac:dyDescent="0.25">
      <c r="M2495" s="34">
        <v>910505</v>
      </c>
      <c r="N2495" s="2" t="s">
        <v>1472</v>
      </c>
      <c r="O2495" s="2" t="s">
        <v>183</v>
      </c>
      <c r="P2495" s="2" t="str">
        <f t="shared" si="41"/>
        <v>910505-VALORES MOBILIARIOS-SUBCUENTA</v>
      </c>
    </row>
    <row r="2496" spans="13:16" x14ac:dyDescent="0.25">
      <c r="M2496" s="34">
        <v>910510</v>
      </c>
      <c r="N2496" s="2" t="s">
        <v>1473</v>
      </c>
      <c r="O2496" s="2" t="s">
        <v>183</v>
      </c>
      <c r="P2496" s="2" t="str">
        <f t="shared" si="41"/>
        <v>910510-BIENES MUEBLES-SUBCUENTA</v>
      </c>
    </row>
    <row r="2497" spans="13:16" x14ac:dyDescent="0.25">
      <c r="M2497" s="34">
        <v>910599</v>
      </c>
      <c r="N2497" s="2" t="s">
        <v>367</v>
      </c>
      <c r="O2497" s="2" t="s">
        <v>183</v>
      </c>
      <c r="P2497" s="2" t="str">
        <f t="shared" si="41"/>
        <v>910599-AJUSTES POR INFLACION-SUBCUENTA</v>
      </c>
    </row>
    <row r="2498" spans="13:16" x14ac:dyDescent="0.25">
      <c r="M2498" s="34">
        <v>9110</v>
      </c>
      <c r="N2498" s="2" t="s">
        <v>1511</v>
      </c>
      <c r="O2498" s="2" t="s">
        <v>182</v>
      </c>
      <c r="P2498" s="2" t="str">
        <f t="shared" si="41"/>
        <v>9110-BIENES Y VALORES RECIBIDOS EN GARANTIA-CUENTA</v>
      </c>
    </row>
    <row r="2499" spans="13:16" x14ac:dyDescent="0.25">
      <c r="M2499" s="34">
        <v>911005</v>
      </c>
      <c r="N2499" s="2" t="s">
        <v>1472</v>
      </c>
      <c r="O2499" s="2" t="s">
        <v>183</v>
      </c>
      <c r="P2499" s="2" t="str">
        <f t="shared" si="41"/>
        <v>911005-VALORES MOBILIARIOS-SUBCUENTA</v>
      </c>
    </row>
    <row r="2500" spans="13:16" x14ac:dyDescent="0.25">
      <c r="M2500" s="34">
        <v>911010</v>
      </c>
      <c r="N2500" s="2" t="s">
        <v>1473</v>
      </c>
      <c r="O2500" s="2" t="s">
        <v>183</v>
      </c>
      <c r="P2500" s="2" t="str">
        <f t="shared" ref="P2500:P2554" si="42">IF(AND(M2500&lt;&gt;"",N2500&lt;&gt;"",O2500&lt;&gt;""),M2500&amp;"-"&amp;N2500&amp;"-"&amp;O2500,IF(AND(M2500="",N2500&lt;&gt;"",O2500&lt;&gt;""),N2500&amp;"-"&amp;O2500,IF(AND(M2500&lt;&gt;"",N2500="",O2500&lt;&gt;""),M2500&amp;"-"&amp;O2500,IF(AND(M2500&lt;&gt;"",N2500&lt;&gt;"",O2500=""),M2500&amp;"-"&amp;N2500,IF(AND(M2500&lt;&gt;"",N2500="",O2500=""),M2500,"")))))</f>
        <v>911010-BIENES MUEBLES-SUBCUENTA</v>
      </c>
    </row>
    <row r="2501" spans="13:16" x14ac:dyDescent="0.25">
      <c r="M2501" s="34">
        <v>911015</v>
      </c>
      <c r="N2501" s="2" t="s">
        <v>1475</v>
      </c>
      <c r="O2501" s="2" t="s">
        <v>183</v>
      </c>
      <c r="P2501" s="2" t="str">
        <f t="shared" si="42"/>
        <v>911015-BIENES INMUEBLES-SUBCUENTA</v>
      </c>
    </row>
    <row r="2502" spans="13:16" x14ac:dyDescent="0.25">
      <c r="M2502" s="34">
        <v>911020</v>
      </c>
      <c r="N2502" s="2" t="s">
        <v>1476</v>
      </c>
      <c r="O2502" s="2" t="s">
        <v>183</v>
      </c>
      <c r="P2502" s="2" t="str">
        <f t="shared" si="42"/>
        <v>911020-CONTRATOS DE GANADO EN PARTICIPACION-SUBCUENTA</v>
      </c>
    </row>
    <row r="2503" spans="13:16" x14ac:dyDescent="0.25">
      <c r="M2503" s="34">
        <v>911099</v>
      </c>
      <c r="N2503" s="2" t="s">
        <v>367</v>
      </c>
      <c r="O2503" s="2" t="s">
        <v>183</v>
      </c>
      <c r="P2503" s="2" t="str">
        <f t="shared" si="42"/>
        <v>911099-AJUSTES POR INFLACION-SUBCUENTA</v>
      </c>
    </row>
    <row r="2504" spans="13:16" x14ac:dyDescent="0.25">
      <c r="M2504" s="34">
        <v>9115</v>
      </c>
      <c r="N2504" s="2" t="s">
        <v>1512</v>
      </c>
      <c r="O2504" s="2" t="s">
        <v>182</v>
      </c>
      <c r="P2504" s="2" t="str">
        <f t="shared" si="42"/>
        <v>9115-BIENES Y VALORES RECIBIDOS DE TERCEROS-CUENTA</v>
      </c>
    </row>
    <row r="2505" spans="13:16" x14ac:dyDescent="0.25">
      <c r="M2505" s="34">
        <v>911505</v>
      </c>
      <c r="N2505" s="2" t="s">
        <v>1478</v>
      </c>
      <c r="O2505" s="2" t="s">
        <v>183</v>
      </c>
      <c r="P2505" s="2" t="str">
        <f t="shared" si="42"/>
        <v>911505-EN ARRENDAMIENTO-SUBCUENTA</v>
      </c>
    </row>
    <row r="2506" spans="13:16" x14ac:dyDescent="0.25">
      <c r="M2506" s="34">
        <v>911510</v>
      </c>
      <c r="N2506" s="2" t="s">
        <v>1479</v>
      </c>
      <c r="O2506" s="2" t="s">
        <v>183</v>
      </c>
      <c r="P2506" s="2" t="str">
        <f t="shared" si="42"/>
        <v>911510-EN PRESTAMO-SUBCUENTA</v>
      </c>
    </row>
    <row r="2507" spans="13:16" x14ac:dyDescent="0.25">
      <c r="M2507" s="34">
        <v>911515</v>
      </c>
      <c r="N2507" s="2" t="s">
        <v>1480</v>
      </c>
      <c r="O2507" s="2" t="s">
        <v>183</v>
      </c>
      <c r="P2507" s="2" t="str">
        <f t="shared" si="42"/>
        <v>911515-EN DEPOSITO-SUBCUENTA</v>
      </c>
    </row>
    <row r="2508" spans="13:16" x14ac:dyDescent="0.25">
      <c r="M2508" s="34">
        <v>911520</v>
      </c>
      <c r="N2508" s="2" t="s">
        <v>1481</v>
      </c>
      <c r="O2508" s="2" t="s">
        <v>183</v>
      </c>
      <c r="P2508" s="2" t="str">
        <f t="shared" si="42"/>
        <v>911520-EN CONSIGNACION-SUBCUENTA</v>
      </c>
    </row>
    <row r="2509" spans="13:16" x14ac:dyDescent="0.25">
      <c r="M2509" s="34">
        <v>911525</v>
      </c>
      <c r="N2509" s="2" t="s">
        <v>1513</v>
      </c>
      <c r="O2509" s="2" t="s">
        <v>183</v>
      </c>
      <c r="P2509" s="2" t="str">
        <f t="shared" si="42"/>
        <v>911525-EN COMODATO-SUBCUENTA</v>
      </c>
    </row>
    <row r="2510" spans="13:16" x14ac:dyDescent="0.25">
      <c r="M2510" s="34">
        <v>911599</v>
      </c>
      <c r="N2510" s="2" t="s">
        <v>367</v>
      </c>
      <c r="O2510" s="2" t="s">
        <v>183</v>
      </c>
      <c r="P2510" s="2" t="str">
        <f t="shared" si="42"/>
        <v>911599-AJUSTES POR INFLACION-SUBCUENTA</v>
      </c>
    </row>
    <row r="2511" spans="13:16" x14ac:dyDescent="0.25">
      <c r="M2511" s="34">
        <v>9120</v>
      </c>
      <c r="N2511" s="2" t="s">
        <v>1482</v>
      </c>
      <c r="O2511" s="2" t="s">
        <v>182</v>
      </c>
      <c r="P2511" s="2" t="str">
        <f t="shared" si="42"/>
        <v>9120-LITIGIOS Y/O DEMANDAS-CUENTA</v>
      </c>
    </row>
    <row r="2512" spans="13:16" x14ac:dyDescent="0.25">
      <c r="M2512" s="34">
        <v>912005</v>
      </c>
      <c r="N2512" s="2" t="s">
        <v>840</v>
      </c>
      <c r="O2512" s="2" t="s">
        <v>183</v>
      </c>
      <c r="P2512" s="2" t="str">
        <f t="shared" si="42"/>
        <v>912005-LABORALES-SUBCUENTA</v>
      </c>
    </row>
    <row r="2513" spans="13:16" x14ac:dyDescent="0.25">
      <c r="M2513" s="34">
        <v>912010</v>
      </c>
      <c r="N2513" s="2" t="s">
        <v>841</v>
      </c>
      <c r="O2513" s="2" t="s">
        <v>183</v>
      </c>
      <c r="P2513" s="2" t="str">
        <f t="shared" si="42"/>
        <v>912010-CIVILES-SUBCUENTA</v>
      </c>
    </row>
    <row r="2514" spans="13:16" x14ac:dyDescent="0.25">
      <c r="M2514" s="34">
        <v>912015</v>
      </c>
      <c r="N2514" s="2" t="s">
        <v>1514</v>
      </c>
      <c r="O2514" s="2" t="s">
        <v>183</v>
      </c>
      <c r="P2514" s="2" t="str">
        <f t="shared" si="42"/>
        <v>912015-ADMINISTRATIVOS O ARBITRALES-SUBCUENTA</v>
      </c>
    </row>
    <row r="2515" spans="13:16" x14ac:dyDescent="0.25">
      <c r="M2515" s="34">
        <v>912020</v>
      </c>
      <c r="N2515" s="2" t="s">
        <v>1515</v>
      </c>
      <c r="O2515" s="2" t="s">
        <v>183</v>
      </c>
      <c r="P2515" s="2" t="str">
        <f t="shared" si="42"/>
        <v>912020-TRIBUTARIOS-SUBCUENTA</v>
      </c>
    </row>
    <row r="2516" spans="13:16" x14ac:dyDescent="0.25">
      <c r="M2516" s="34">
        <v>9125</v>
      </c>
      <c r="N2516" s="2" t="s">
        <v>471</v>
      </c>
      <c r="O2516" s="2" t="s">
        <v>182</v>
      </c>
      <c r="P2516" s="2" t="str">
        <f t="shared" si="42"/>
        <v>9125-PROMESAS DE COMPRAVENTA-CUENTA</v>
      </c>
    </row>
    <row r="2517" spans="13:16" x14ac:dyDescent="0.25">
      <c r="M2517" s="34" t="s">
        <v>296</v>
      </c>
      <c r="N2517" s="2" t="s">
        <v>188</v>
      </c>
      <c r="O2517" s="2" t="s">
        <v>188</v>
      </c>
      <c r="P2517" s="2" t="str">
        <f t="shared" si="42"/>
        <v xml:space="preserve">912501 a 912599 </v>
      </c>
    </row>
    <row r="2518" spans="13:16" x14ac:dyDescent="0.25">
      <c r="M2518" s="34">
        <v>9130</v>
      </c>
      <c r="N2518" s="2" t="s">
        <v>1516</v>
      </c>
      <c r="O2518" s="2" t="s">
        <v>182</v>
      </c>
      <c r="P2518" s="2" t="str">
        <f t="shared" si="42"/>
        <v>9130-CONTRATOS DE ADMINISTRACION DELEGADA-CUENTA</v>
      </c>
    </row>
    <row r="2519" spans="13:16" x14ac:dyDescent="0.25">
      <c r="M2519" s="34" t="s">
        <v>297</v>
      </c>
      <c r="N2519" s="2" t="s">
        <v>188</v>
      </c>
      <c r="O2519" s="2" t="s">
        <v>188</v>
      </c>
      <c r="P2519" s="2" t="str">
        <f t="shared" si="42"/>
        <v xml:space="preserve">913001 a 913099 </v>
      </c>
    </row>
    <row r="2520" spans="13:16" x14ac:dyDescent="0.25">
      <c r="M2520" s="34">
        <v>9135</v>
      </c>
      <c r="N2520" s="2" t="s">
        <v>372</v>
      </c>
      <c r="O2520" s="2" t="s">
        <v>182</v>
      </c>
      <c r="P2520" s="2" t="str">
        <f t="shared" si="42"/>
        <v>9135-CUENTAS EN PARTICIPACION-CUENTA</v>
      </c>
    </row>
    <row r="2521" spans="13:16" x14ac:dyDescent="0.25">
      <c r="M2521" s="34" t="s">
        <v>298</v>
      </c>
      <c r="N2521" s="2" t="s">
        <v>188</v>
      </c>
      <c r="O2521" s="2" t="s">
        <v>188</v>
      </c>
      <c r="P2521" s="2" t="str">
        <f t="shared" si="42"/>
        <v xml:space="preserve">913501 a 913599 </v>
      </c>
    </row>
    <row r="2522" spans="13:16" x14ac:dyDescent="0.25">
      <c r="M2522" s="34">
        <v>9195</v>
      </c>
      <c r="N2522" s="2" t="s">
        <v>1517</v>
      </c>
      <c r="O2522" s="2" t="s">
        <v>182</v>
      </c>
      <c r="P2522" s="2" t="str">
        <f t="shared" si="42"/>
        <v>9195-OTRAS RESPONSABILIDADES CONTINGENTES-CUENTA</v>
      </c>
    </row>
    <row r="2523" spans="13:16" x14ac:dyDescent="0.25">
      <c r="M2523" s="34" t="s">
        <v>299</v>
      </c>
      <c r="N2523" s="2" t="s">
        <v>188</v>
      </c>
      <c r="O2523" s="2" t="s">
        <v>188</v>
      </c>
      <c r="P2523" s="2" t="str">
        <f t="shared" si="42"/>
        <v xml:space="preserve">919501 a 919599 </v>
      </c>
    </row>
    <row r="2524" spans="13:16" x14ac:dyDescent="0.25">
      <c r="M2524" s="34">
        <v>92</v>
      </c>
      <c r="N2524" s="2" t="s">
        <v>1518</v>
      </c>
      <c r="O2524" s="2" t="s">
        <v>181</v>
      </c>
      <c r="P2524" s="2" t="str">
        <f t="shared" si="42"/>
        <v>92-ACREEDORAS FISCALES-GRUPO</v>
      </c>
    </row>
    <row r="2525" spans="13:16" x14ac:dyDescent="0.25">
      <c r="M2525" s="34" t="s">
        <v>300</v>
      </c>
      <c r="N2525" s="2" t="s">
        <v>188</v>
      </c>
      <c r="O2525" s="2" t="s">
        <v>188</v>
      </c>
      <c r="P2525" s="2" t="str">
        <f t="shared" si="42"/>
        <v xml:space="preserve">9201 a 9299 </v>
      </c>
    </row>
    <row r="2526" spans="13:16" x14ac:dyDescent="0.25">
      <c r="M2526" s="34" t="s">
        <v>301</v>
      </c>
      <c r="N2526" s="2" t="s">
        <v>188</v>
      </c>
      <c r="O2526" s="2" t="s">
        <v>188</v>
      </c>
      <c r="P2526" s="2" t="str">
        <f t="shared" si="42"/>
        <v xml:space="preserve">920101 a 929999 </v>
      </c>
    </row>
    <row r="2527" spans="13:16" x14ac:dyDescent="0.25">
      <c r="M2527" s="34">
        <v>93</v>
      </c>
      <c r="N2527" s="2" t="s">
        <v>1519</v>
      </c>
      <c r="O2527" s="2" t="s">
        <v>181</v>
      </c>
      <c r="P2527" s="2" t="str">
        <f t="shared" si="42"/>
        <v>93-ACREEDORAS DE CONTROL-GRUPO</v>
      </c>
    </row>
    <row r="2528" spans="13:16" x14ac:dyDescent="0.25">
      <c r="M2528" s="34">
        <v>9305</v>
      </c>
      <c r="N2528" s="2" t="s">
        <v>1520</v>
      </c>
      <c r="O2528" s="2" t="s">
        <v>182</v>
      </c>
      <c r="P2528" s="2" t="str">
        <f t="shared" si="42"/>
        <v>9305-CONTRATOS DE ARRENDAMIENTO FINANCIERO-CUENTA</v>
      </c>
    </row>
    <row r="2529" spans="13:16" x14ac:dyDescent="0.25">
      <c r="M2529" s="34">
        <v>930505</v>
      </c>
      <c r="N2529" s="2" t="s">
        <v>1473</v>
      </c>
      <c r="O2529" s="2" t="s">
        <v>183</v>
      </c>
      <c r="P2529" s="2" t="str">
        <f t="shared" si="42"/>
        <v>930505-BIENES MUEBLES-SUBCUENTA</v>
      </c>
    </row>
    <row r="2530" spans="13:16" x14ac:dyDescent="0.25">
      <c r="M2530" s="34">
        <v>930510</v>
      </c>
      <c r="N2530" s="2" t="s">
        <v>1475</v>
      </c>
      <c r="O2530" s="2" t="s">
        <v>183</v>
      </c>
      <c r="P2530" s="2" t="str">
        <f t="shared" si="42"/>
        <v>930510-BIENES INMUEBLES-SUBCUENTA</v>
      </c>
    </row>
    <row r="2531" spans="13:16" x14ac:dyDescent="0.25">
      <c r="M2531" s="34">
        <v>5</v>
      </c>
      <c r="N2531" s="2" t="s">
        <v>1521</v>
      </c>
      <c r="O2531" s="2" t="s">
        <v>180</v>
      </c>
      <c r="P2531" s="2" t="str">
        <f t="shared" si="42"/>
        <v>5-OTRAS CUENTAS DE ORDEN ACREEDORAS DE CONTROL-CLASE</v>
      </c>
    </row>
    <row r="2532" spans="13:16" x14ac:dyDescent="0.25">
      <c r="M2532" s="34">
        <v>939505</v>
      </c>
      <c r="N2532" s="2" t="s">
        <v>1522</v>
      </c>
      <c r="O2532" s="2" t="s">
        <v>183</v>
      </c>
      <c r="P2532" s="2" t="str">
        <f t="shared" si="42"/>
        <v>939505-DOCUMENTOS POR COBRAR DESCONTADOS-SUBCUENTA</v>
      </c>
    </row>
    <row r="2533" spans="13:16" x14ac:dyDescent="0.25">
      <c r="M2533" s="34">
        <v>939510</v>
      </c>
      <c r="N2533" s="2" t="s">
        <v>1523</v>
      </c>
      <c r="O2533" s="2" t="s">
        <v>183</v>
      </c>
      <c r="P2533" s="2" t="str">
        <f t="shared" si="42"/>
        <v>939510-CONVENIOS DE PAGO-SUBCUENTA</v>
      </c>
    </row>
    <row r="2534" spans="13:16" x14ac:dyDescent="0.25">
      <c r="M2534" s="34">
        <v>939515</v>
      </c>
      <c r="N2534" s="2" t="s">
        <v>1524</v>
      </c>
      <c r="O2534" s="2" t="s">
        <v>183</v>
      </c>
      <c r="P2534" s="2" t="str">
        <f t="shared" si="42"/>
        <v>939515-CONTRATOS DE CONSTRUCCIONES E INSTALACIONES POR EJECUTAR-SUBCUENTA</v>
      </c>
    </row>
    <row r="2535" spans="13:16" x14ac:dyDescent="0.25">
      <c r="M2535" s="34">
        <v>939520</v>
      </c>
      <c r="N2535" s="2" t="s">
        <v>1525</v>
      </c>
      <c r="O2535" s="2" t="s">
        <v>183</v>
      </c>
      <c r="P2535" s="2" t="str">
        <f t="shared" si="42"/>
        <v>939520-PEDIDOS COLOCADOS-SUBCUENTA</v>
      </c>
    </row>
    <row r="2536" spans="13:16" x14ac:dyDescent="0.25">
      <c r="M2536" s="34">
        <v>939525</v>
      </c>
      <c r="N2536" s="2" t="s">
        <v>1526</v>
      </c>
      <c r="O2536" s="2" t="s">
        <v>183</v>
      </c>
      <c r="P2536" s="2" t="str">
        <f t="shared" si="42"/>
        <v>939525-ADJUDICACIONES PENDIENTES DE LEGALIZAR-SUBCUENTA</v>
      </c>
    </row>
    <row r="2537" spans="13:16" x14ac:dyDescent="0.25">
      <c r="M2537" s="34">
        <v>939530</v>
      </c>
      <c r="N2537" s="2" t="s">
        <v>1527</v>
      </c>
      <c r="O2537" s="2" t="s">
        <v>183</v>
      </c>
      <c r="P2537" s="2" t="str">
        <f t="shared" si="42"/>
        <v>939530-RESERVA ARTICULO 3o. LEY 4/80-SUBCUENTA</v>
      </c>
    </row>
    <row r="2538" spans="13:16" x14ac:dyDescent="0.25">
      <c r="M2538" s="34">
        <v>939535</v>
      </c>
      <c r="N2538" s="2" t="s">
        <v>1528</v>
      </c>
      <c r="O2538" s="2" t="s">
        <v>183</v>
      </c>
      <c r="P2538" s="2" t="str">
        <f t="shared" si="42"/>
        <v>939535-RESERVA COSTO REPOSICION SEMOVIENTES-SUBCUENTA</v>
      </c>
    </row>
    <row r="2539" spans="13:16" x14ac:dyDescent="0.25">
      <c r="M2539" s="34">
        <v>939599</v>
      </c>
      <c r="N2539" s="2" t="s">
        <v>367</v>
      </c>
      <c r="O2539" s="2" t="s">
        <v>183</v>
      </c>
      <c r="P2539" s="2" t="str">
        <f t="shared" si="42"/>
        <v>939599-AJUSTES POR INFLACION-SUBCUENTA</v>
      </c>
    </row>
    <row r="2540" spans="13:16" x14ac:dyDescent="0.25">
      <c r="M2540" s="34">
        <v>9399</v>
      </c>
      <c r="N2540" s="2" t="s">
        <v>1529</v>
      </c>
      <c r="O2540" s="2" t="s">
        <v>182</v>
      </c>
      <c r="P2540" s="2" t="str">
        <f t="shared" si="42"/>
        <v>9399-AJUSTES POR INFLACION PATRIMONIO-CUENTA</v>
      </c>
    </row>
    <row r="2541" spans="13:16" x14ac:dyDescent="0.25">
      <c r="M2541" s="34">
        <v>939905</v>
      </c>
      <c r="N2541" s="2" t="s">
        <v>900</v>
      </c>
      <c r="O2541" s="2" t="s">
        <v>183</v>
      </c>
      <c r="P2541" s="2" t="str">
        <f t="shared" si="42"/>
        <v>939905-CAPITAL SOCIAL-SUBCUENTA</v>
      </c>
    </row>
    <row r="2542" spans="13:16" x14ac:dyDescent="0.25">
      <c r="M2542" s="34">
        <v>939910</v>
      </c>
      <c r="N2542" s="2" t="s">
        <v>917</v>
      </c>
      <c r="O2542" s="2" t="s">
        <v>183</v>
      </c>
      <c r="P2542" s="2" t="str">
        <f t="shared" si="42"/>
        <v>939910-SUPERAVIT DE CAPITAL-SUBCUENTA</v>
      </c>
    </row>
    <row r="2543" spans="13:16" x14ac:dyDescent="0.25">
      <c r="M2543" s="34">
        <v>939915</v>
      </c>
      <c r="N2543" s="2" t="s">
        <v>928</v>
      </c>
      <c r="O2543" s="2" t="s">
        <v>183</v>
      </c>
      <c r="P2543" s="2" t="str">
        <f t="shared" si="42"/>
        <v>939915-RESERVAS-SUBCUENTA</v>
      </c>
    </row>
    <row r="2544" spans="13:16" x14ac:dyDescent="0.25">
      <c r="M2544" s="34">
        <v>939925</v>
      </c>
      <c r="N2544" s="2" t="s">
        <v>1530</v>
      </c>
      <c r="O2544" s="2" t="s">
        <v>183</v>
      </c>
      <c r="P2544" s="2" t="str">
        <f t="shared" si="42"/>
        <v>939925-DIVIDENDOS O PARTICIPACIONES DECRETADAS EN ACCIONES, CUOTAS O PARTES DE INTERES SOCIAL-SUBCUENTA</v>
      </c>
    </row>
    <row r="2545" spans="13:16" x14ac:dyDescent="0.25">
      <c r="M2545" s="34">
        <v>939930</v>
      </c>
      <c r="N2545" s="2" t="s">
        <v>966</v>
      </c>
      <c r="O2545" s="2" t="s">
        <v>183</v>
      </c>
      <c r="P2545" s="2" t="str">
        <f t="shared" si="42"/>
        <v>939930-RESULTADOS DE EJERCICIOS ANTERIORES-SUBCUENTA</v>
      </c>
    </row>
    <row r="2546" spans="13:16" x14ac:dyDescent="0.25">
      <c r="M2546" s="34">
        <v>94</v>
      </c>
      <c r="N2546" s="2" t="s">
        <v>1531</v>
      </c>
      <c r="O2546" s="2" t="s">
        <v>181</v>
      </c>
      <c r="P2546" s="2" t="str">
        <f t="shared" si="42"/>
        <v>94-RESPONSABILIDADES CONTINGENTES POR CONTRA (DB)-GRUPO</v>
      </c>
    </row>
    <row r="2547" spans="13:16" x14ac:dyDescent="0.25">
      <c r="M2547" s="34" t="s">
        <v>302</v>
      </c>
      <c r="N2547" s="2" t="s">
        <v>188</v>
      </c>
      <c r="O2547" s="2" t="s">
        <v>188</v>
      </c>
      <c r="P2547" s="2" t="str">
        <f t="shared" si="42"/>
        <v xml:space="preserve">9401 a 9499 </v>
      </c>
    </row>
    <row r="2548" spans="13:16" x14ac:dyDescent="0.25">
      <c r="M2548" s="34" t="s">
        <v>303</v>
      </c>
      <c r="N2548" s="2" t="s">
        <v>188</v>
      </c>
      <c r="O2548" s="2" t="s">
        <v>188</v>
      </c>
      <c r="P2548" s="2" t="str">
        <f t="shared" si="42"/>
        <v xml:space="preserve">940101 a 949999 </v>
      </c>
    </row>
    <row r="2549" spans="13:16" x14ac:dyDescent="0.25">
      <c r="M2549" s="34">
        <v>95</v>
      </c>
      <c r="N2549" s="2" t="s">
        <v>1532</v>
      </c>
      <c r="O2549" s="2" t="s">
        <v>181</v>
      </c>
      <c r="P2549" s="2" t="str">
        <f t="shared" si="42"/>
        <v>95-ACREEDORAS FISCALES POR CONTRA (DB)-GRUPO</v>
      </c>
    </row>
    <row r="2550" spans="13:16" x14ac:dyDescent="0.25">
      <c r="M2550" s="34" t="s">
        <v>304</v>
      </c>
      <c r="N2550" s="2" t="s">
        <v>188</v>
      </c>
      <c r="O2550" s="2" t="s">
        <v>188</v>
      </c>
      <c r="P2550" s="2" t="str">
        <f t="shared" si="42"/>
        <v xml:space="preserve">9501 a 9599 </v>
      </c>
    </row>
    <row r="2551" spans="13:16" x14ac:dyDescent="0.25">
      <c r="M2551" s="34" t="s">
        <v>305</v>
      </c>
      <c r="N2551" s="2" t="s">
        <v>188</v>
      </c>
      <c r="O2551" s="2" t="s">
        <v>188</v>
      </c>
      <c r="P2551" s="2" t="str">
        <f t="shared" si="42"/>
        <v xml:space="preserve">950101 a 959999 </v>
      </c>
    </row>
    <row r="2552" spans="13:16" x14ac:dyDescent="0.25">
      <c r="M2552" s="34">
        <v>96</v>
      </c>
      <c r="N2552" s="2" t="s">
        <v>1533</v>
      </c>
      <c r="O2552" s="2" t="s">
        <v>181</v>
      </c>
      <c r="P2552" s="2" t="str">
        <f t="shared" si="42"/>
        <v>96-ACREEDORAS DE CONTROL POR CONTRA (DB)-GRUPO</v>
      </c>
    </row>
    <row r="2553" spans="13:16" x14ac:dyDescent="0.25">
      <c r="M2553" s="34" t="s">
        <v>306</v>
      </c>
      <c r="N2553" s="2" t="s">
        <v>188</v>
      </c>
      <c r="O2553" s="2" t="s">
        <v>188</v>
      </c>
      <c r="P2553" s="2" t="str">
        <f t="shared" si="42"/>
        <v xml:space="preserve">9601 a 9699 </v>
      </c>
    </row>
    <row r="2554" spans="13:16" x14ac:dyDescent="0.25">
      <c r="M2554" s="34" t="s">
        <v>307</v>
      </c>
      <c r="N2554" s="2" t="s">
        <v>188</v>
      </c>
      <c r="O2554" s="2" t="s">
        <v>188</v>
      </c>
      <c r="P2554" s="2" t="str">
        <f t="shared" si="42"/>
        <v xml:space="preserve">960101 a 969999 </v>
      </c>
    </row>
  </sheetData>
  <mergeCells count="4">
    <mergeCell ref="D1:F1"/>
    <mergeCell ref="A1:C1"/>
    <mergeCell ref="M1:P1"/>
    <mergeCell ref="T1:U1"/>
  </mergeCells>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Explicación del excel</vt:lpstr>
      <vt:lpstr>FacturaN</vt:lpstr>
      <vt:lpstr>Factura</vt:lpstr>
      <vt:lpstr>Datos básicos</vt:lpstr>
      <vt:lpstr>Datos productos</vt:lpstr>
      <vt:lpstr>Resumen</vt:lpstr>
      <vt:lpstr>Listas desplegables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Analista Junior</dc:creator>
  <cp:lastModifiedBy>Usuario</cp:lastModifiedBy>
  <dcterms:created xsi:type="dcterms:W3CDTF">2021-10-05T17:17:04Z</dcterms:created>
  <dcterms:modified xsi:type="dcterms:W3CDTF">2022-05-20T18:57:28Z</dcterms:modified>
</cp:coreProperties>
</file>